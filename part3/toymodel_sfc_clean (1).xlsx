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AmeriCo" sheetId="3" state="visible" r:id="rId5"/>
    <sheet name="GovCo" sheetId="4" state="visible" r:id="rId6"/>
    <sheet name="JapanCo" sheetId="5" state="visible" r:id="rId7"/>
    <sheet name="CommodityCo" sheetId="6" state="visible" r:id="rId8"/>
    <sheet name="ClearCo" sheetId="7" state="visible" r:id="rId9"/>
    <sheet name="GlobalBankCo" sheetId="8" state="visible" r:id="rId10"/>
    <sheet name="RepoCo" sheetId="9" state="visible" r:id="rId11"/>
    <sheet name="HedgeCo" sheetId="10" state="visible" r:id="rId12"/>
    <sheet name="FedCo" sheetId="11" state="visible" r:id="rId13"/>
    <sheet name="SFC_CHECK" sheetId="12" state="visible" r:id="rId14"/>
    <sheet name="MEASURES" sheetId="13" state="visible" r:id="rId15"/>
    <sheet name="CONTAG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<sst xmlns="http://schemas.openxmlformats.org/spreadsheetml/2006/main" count="776" uniqueCount="513">
  <si>
    <t xml:space="preserve">TITLE</t>
  </si>
  <si>
    <t xml:space="preserve">THE STOCK ELEPHANT -- Part III: Seven-Actor SFC Toy Model</t>
  </si>
  <si>
    <t xml:space="preserve">PURPOSE</t>
  </si>
  <si>
    <t xml:space="preserve">This spreadsheet implements a Stock-Flow Consistent (SFC) balance sheet model for seven actors in the international dollar circuit. Every inter-actor flow is enforced by formula. The SFC_CHECK sheet verifies that all accounting identities hold across all years.</t>
  </si>
  <si>
    <t xml:space="preserve">YEAR MAPPING</t>
  </si>
  <si>
    <t xml:space="preserve">Y0=2016 (baseline), Y1=2017, Y2=2018, Y3=2019, Y4=2020 (COVID), Y5=2021, Y6=2022 (basis trade surge), Y7=2023 (QDLP reopens), Y8=2024, Y9=2025, Y10+=Stress scenario. NOTE: In the published article, only Y0..Y10+ labels are used. No calendar dates appear in the publication.</t>
  </si>
  <si>
    <t xml:space="preserve">NAMING CONVENTIONS</t>
  </si>
  <si>
    <t xml:space="preserve">AmeriCo = reserve currency issuer (US analog). JapanCo = surplus accumulator (China analog). JapCBCo = JapanCo central bank sub-account. JapY = JapanCo domestic currency (CNY analog). JapInv = JapanCo outward investment projects (BRI analog). CommodityCo = commodity-exporting sovereign (Gulf/EM analog, generic). GlobalBankCo = large international bank. RepoCo = repo desk / FICC member. HedgeCo = basis trade vehicle (Cayman-registered). FedCo = AmeriCo central bank / absorber of last resort.</t>
  </si>
  <si>
    <t xml:space="preserve">UNITS</t>
  </si>
  <si>
    <t xml:space="preserve">All values in stylized $B (billions). Toy model -- ratios matter, not absolute scale. Real-world order-of-magnitude calibration noted in ASSUMPTIONS sheet.</t>
  </si>
  <si>
    <t xml:space="preserve">COLOR CODING</t>
  </si>
  <si>
    <t xml:space="preserve">BLUE TEXT = hardcoded input (change these for scenarios). BLACK TEXT = formula (do not hardcode). GREEN TEXT = cross-sheet reference. GREEN BACKGROUND = asset rows. ORANGE BACKGROUND = liability rows. PURPLE BACKGROUND = derivative / off-balance-sheet rows. YELLOW BACKGROUND = equity / net worth rows. BLUE BACKGROUND = fractional measure rows. RED BACKGROUND = stress scenario rows.</t>
  </si>
  <si>
    <t xml:space="preserve">SFC IDENTITIES</t>
  </si>
  <si>
    <t xml:space="preserve">The following identities must hold at every year column. They are verified in SFC_CHECK sheet. Any red cell in SFC_CHECK indicates a model error.</t>
  </si>
  <si>
    <t xml:space="preserve">  Identity 1</t>
  </si>
  <si>
    <t xml:space="preserve">JapanCo deposit at GlobalBankCo = GlobalBankCo liability to JapanCo</t>
  </si>
  <si>
    <t xml:space="preserve">  Identity 2</t>
  </si>
  <si>
    <t xml:space="preserve">CommodityCo deposit at GlobalBankCo = GlobalBankCo liability to CommodityCo</t>
  </si>
  <si>
    <t xml:space="preserve">  Identity 3</t>
  </si>
  <si>
    <t xml:space="preserve">GlobalBankCo repo to RepoCo = RepoCo repo payable to GlobalBankCo</t>
  </si>
  <si>
    <t xml:space="preserve">  Identity 4</t>
  </si>
  <si>
    <t xml:space="preserve">RepoCo repo to HedgeCo = HedgeCo repo payable to RepoCo</t>
  </si>
  <si>
    <t xml:space="preserve">  Identity 5</t>
  </si>
  <si>
    <t xml:space="preserve">HedgeCo long cash Treasury = Treasury held via repo chain (= RepoCo repo to HedgeCo)</t>
  </si>
  <si>
    <t xml:space="preserve">  Identity 6</t>
  </si>
  <si>
    <t xml:space="preserve">AmeriCo CA deficit (year) = sum of net new foreign claims issued that year</t>
  </si>
  <si>
    <t xml:space="preserve">  Identity 7</t>
  </si>
  <si>
    <t xml:space="preserve">FedCo Treasury purchase in stress = HedgeCo Treasury sale in stress</t>
  </si>
  <si>
    <t xml:space="preserve">  Identity 8</t>
  </si>
  <si>
    <t xml:space="preserve">AmeriCo NIIP = sum of all net foreign claims on AmeriCo (sign-reversed)</t>
  </si>
  <si>
    <t xml:space="preserve">  Identity 9</t>
  </si>
  <si>
    <t xml:space="preserve">System net worth = 0 (every financial asset is someone else's liability)</t>
  </si>
  <si>
    <t xml:space="preserve">DATA SOURCES</t>
  </si>
  <si>
    <t xml:space="preserve">CFTC TFF: publicreporting.cftc.gov -- leveraged fund net short, latest $1,050B (Mar 2026, includes Ultra 10yr code 043607). BIS LBS: data.bis.org -- total liabilities to China $4,639B (Series A), loans+deposits $3,876B (Series G, best available -- see NOTE). Barth-Beltran Oct 2025: basis trade $1,850B total, $423B TIC-visible, $1,427B invisible. Setser/IMF: China routing gap $2.7T cumulative by Y9/2025.</t>
  </si>
  <si>
    <t xml:space="preserve">BIS DATA NOTE</t>
  </si>
  <si>
    <t xml:space="preserve">BIS LBS does not publish a deposit-only instrument series. Code G (Loans and deposits) is the finest available granularity but bundles deposits, loans, and repo cash legs (BIS Guidelines para 2.42). The deposit-specific series for SLR hypothesis validation is structurally unavailable in public BIS data. SDMX codelist: stats.bis.org/api/v2/codelist/BIS/CL_LBS_INSTR/1.0</t>
  </si>
  <si>
    <t xml:space="preserve">PUBLICATION NOTE</t>
  </si>
  <si>
    <t xml:space="preserve">Internal working document. Publication version uses Y0..Y10+ labels only, removes CommodityCo name, removes JapCBCo/JapY/JapInv labels, and presents fractional measure formulas without estimated values. Editorial decision on what to publish made at end of drafting.</t>
  </si>
  <si>
    <t xml:space="preserve">ASSUMPTIONS -- All hardcoded inputs (blue). Change here; formulas flow through.</t>
  </si>
  <si>
    <t xml:space="preserve">Account / Line Item</t>
  </si>
  <si>
    <t xml:space="preserve">Notes / Source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</si>
  <si>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</si>
  <si>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</si>
  <si>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</si>
  <si>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</si>
  <si>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</si>
  <si>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</si>
  <si>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</si>
  <si>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</si>
  <si>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</si>
  <si>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</si>
  <si>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Y10+
Stress</t>
  </si>
  <si>
    <t xml:space="preserve">AMERICО ASSUMPTIONS</t>
  </si>
  <si>
    <t xml:space="preserve">Productive capital K_real ($B)</t>
  </si>
  <si>
    <t xml:space="preserve">Stylized. Real-world US fixed capital ~$60T; toy model ratios matter not scale.</t>
  </si>
  <si>
    <t xml:space="preserve">GDP (Y_productive, $B)</t>
  </si>
  <si>
    <t xml:space="preserve">Toy model GDP. FISIM-adjusted -- financial sector value-add excluded.</t>
  </si>
  <si>
    <t xml:space="preserve">CA deficit per year ($B)</t>
  </si>
  <si>
    <t xml:space="preserve">Real-world US CA deficit: ~$1T/yr by 2024. Toy model scaled.</t>
  </si>
  <si>
    <t xml:space="preserve">NIIP Y0 starting value ($B)</t>
  </si>
  <si>
    <t xml:space="preserve">Only Y0 is input. Subsequent years formula: prior year + CA deficit.</t>
  </si>
  <si>
    <t xml:space="preserve">Official reserve liabilities Y0 ($B)</t>
  </si>
  <si>
    <t xml:space="preserve">Real-world: $7.5T official reserves globally. Toy model scaled.</t>
  </si>
  <si>
    <t xml:space="preserve">Reserve growth rate (% per year)</t>
  </si>
  <si>
    <t xml:space="preserve">Flat since 2015 peak. Real-world PBOC reserves ~$3.1T, stable.</t>
  </si>
  <si>
    <t xml:space="preserve">JAPANCO ASSUMPTIONS</t>
  </si>
  <si>
    <t xml:space="preserve">CA surplus per year ($B)</t>
  </si>
  <si>
    <t xml:space="preserve">Real-world China CA surplus: record ~$1.2T in 2024 (Bloomberg Jan 2026).</t>
  </si>
  <si>
    <t xml:space="preserve">PBOC (JapCBCo) reserve accumulation rate (% of surplus)</t>
  </si>
  <si>
    <t xml:space="preserve">Most surplus NOT going to official reserves since 2015. Setser routing gap.</t>
  </si>
  <si>
    <t xml:space="preserve">GlobalBankCo deposit rate (% of routing gap)</t>
  </si>
  <si>
    <t xml:space="preserve">State rerouting channel. BIS LBS code G proxy (loans+deposits, inseparable).</t>
  </si>
  <si>
    <t xml:space="preserve">JapInv project lending per year ($B)</t>
  </si>
  <si>
    <t xml:space="preserve">JapanCo outward project lending (BRI analog).</t>
  </si>
  <si>
    <t xml:space="preserve">Private channel open? (1=yes, 0=no)</t>
  </si>
  <si>
    <t xml:space="preserve">QDLP: halted Jul 2015 (pre-Y0), reinstated Apr 2018 (Y2), halted again ~Y4, QDLP expansion Sep 2023 (Y7).</t>
  </si>
  <si>
    <t xml:space="preserve">Private channel flow (% of surplus, if open)</t>
  </si>
  <si>
    <t xml:space="preserve">QDII quota: $159.7B. Small relative to total routing gap.</t>
  </si>
  <si>
    <t xml:space="preserve">COMMODITYCO ASSUMPTIONS</t>
  </si>
  <si>
    <t xml:space="preserve">Commodity receivables Y0 ($B)</t>
  </si>
  <si>
    <t xml:space="preserve">Oil/gas/minerals export receivables. Volatile.</t>
  </si>
  <si>
    <t xml:space="preserve">Commodity price change (% per year)</t>
  </si>
  <si>
    <t xml:space="preserve">Stylized commodity cycle. Y4/2020 COVID shock. Y10+ stress: -50%.</t>
  </si>
  <si>
    <t xml:space="preserve">GlobalBankCo deposit Y0 ($B)</t>
  </si>
  <si>
    <t xml:space="preserve">Dollar liquid buffer. First withdrawal target under stress.</t>
  </si>
  <si>
    <t xml:space="preserve">Deposit growth rate (% per year, ex-stress)</t>
  </si>
  <si>
    <t xml:space="preserve">Y10+ stress: CLC breach forces -45% withdrawal.</t>
  </si>
  <si>
    <t xml:space="preserve">Direct Treasury Y0 ($B)</t>
  </si>
  <si>
    <t xml:space="preserve">TIC-visible sovereign Treasury holdings.</t>
  </si>
  <si>
    <t xml:space="preserve">Treasury growth rate (% per year, ex-stress)</t>
  </si>
  <si>
    <t xml:space="preserve">Y10+ stress: forced sale alongside deposit withdrawal.</t>
  </si>
  <si>
    <t xml:space="preserve">Gold reserves Y0 ($B)</t>
  </si>
  <si>
    <t xml:space="preserve">Gold growth rate (% per year, normal)</t>
  </si>
  <si>
    <t xml:space="preserve">Gold liquidation fraction (stress year Y10+)</t>
  </si>
  <si>
    <t xml:space="preserve">Gold proceeds routed to GBC deposit (% of proceeds)</t>
  </si>
  <si>
    <t xml:space="preserve">GLOBALBANKCO ASSUMPTIONS</t>
  </si>
  <si>
    <t xml:space="preserve">Other loans and advances Y0 ($B)</t>
  </si>
  <si>
    <t xml:space="preserve">Other loans growth rate</t>
  </si>
  <si>
    <t xml:space="preserve">SLR minimum (%)</t>
  </si>
  <si>
    <t xml:space="preserve">US GSIB SLR minimum 5%. Perera (Feb 2026): SLR reform Nov 2025 changes denominator.</t>
  </si>
  <si>
    <t xml:space="preserve">SLR constraint threshold (constrained if below, %)</t>
  </si>
  <si>
    <t xml:space="preserve">Repo spread (GlobalBankCo to RepoCo, bps)</t>
  </si>
  <si>
    <t xml:space="preserve">Stylized. Repo spread widens in stress.</t>
  </si>
  <si>
    <t xml:space="preserve">REPOCO ASSUMPTIONS</t>
  </si>
  <si>
    <t xml:space="preserve">Repo spread (RepoCo to HedgeCo, bps)</t>
  </si>
  <si>
    <t xml:space="preserve">FICC novation fraction (% of repo book off-balance-sheet)</t>
  </si>
  <si>
    <t xml:space="preserve">Rising: basis trade growth pushes more volume through FICC CCP. Barth-Beltran: $1.4T invisible = ~76% of total by end-Y8.</t>
  </si>
  <si>
    <t xml:space="preserve">HEDGECO ASSUMPTIONS</t>
  </si>
  <si>
    <t xml:space="preserve">Futures short notional as multiple of cash long</t>
  </si>
  <si>
    <t xml:space="preserve">HedgeCo equity ($B)</t>
  </si>
  <si>
    <t xml:space="preserve">Equity base. Leverage = gross exposure / equity.</t>
  </si>
  <si>
    <t xml:space="preserve">FEDCO ASSUMPTIONS</t>
  </si>
  <si>
    <t xml:space="preserve">Treasury holdings Y0 ($B)</t>
  </si>
  <si>
    <t xml:space="preserve">Real-world: Fed peaked $5.7T Treasuries Apr 2022. QT since.</t>
  </si>
  <si>
    <t xml:space="preserve">Treasury QE/QT per year ($B, positive=QE, negative=QT)</t>
  </si>
  <si>
    <t xml:space="preserve">Y4/2020: emergency QE. Y5-Y9: QT. Y10+ stress: emergency absorption.</t>
  </si>
  <si>
    <t xml:space="preserve">GDP ceiling for BS expansion (%)</t>
  </si>
  <si>
    <t xml:space="preserve">Stylized ceiling. At 38-40% GDP: productive base constraint binding. Part II hard threshold. Perera (Feb 2026).</t>
  </si>
  <si>
    <t xml:space="preserve">Stress absorption (Y10+ Treasury purchase, $B)</t>
  </si>
  <si>
    <t xml:space="preserve">Emergency purchase to stabilize yield spike from HedgeCo unwind. Range $150B-$1,450B depending on unwind scale. $400B = partial.</t>
  </si>
  <si>
    <t xml:space="preserve">GOVCO ASSUMPTIONS</t>
  </si>
  <si>
    <t xml:space="preserve">GovCo bonds outstanding Y0 ($B)</t>
  </si>
  <si>
    <t xml:space="preserve">Domestic holder share of bonds (%)</t>
  </si>
  <si>
    <t xml:space="preserve">Interest rate on GovCo bonds (%)</t>
  </si>
  <si>
    <t xml:space="preserve">Tax revenue Y0 ($B)</t>
  </si>
  <si>
    <t xml:space="preserve">Govt spending Y0 ($B)</t>
  </si>
  <si>
    <t xml:space="preserve">AmeriCo  |  Reserve Issuer  |  Treasury Issuer  |  Productive Base</t>
  </si>
  <si>
    <t xml:space="preserve">ASSETS</t>
  </si>
  <si>
    <t xml:space="preserve">FISIM-adjusted. κ divergence theorem: κ_paper rises faster than κ_real as FISIM contamination grows.</t>
  </si>
  <si>
    <t xml:space="preserve">Outward FDI ($B)</t>
  </si>
  <si>
    <t xml:space="preserve">Channel One legacy: AmeriCo lends long via FDI while borrowing short via reserve accumulation (Kindleberger 1966).</t>
  </si>
  <si>
    <t xml:space="preserve">Other foreign claims ($B)</t>
  </si>
  <si>
    <t xml:space="preserve">TOTAL ASSETS</t>
  </si>
  <si>
    <t xml:space="preserve">LIABILITIES</t>
  </si>
  <si>
    <t xml:space="preserve">Official reserve liabilities ($B)</t>
  </si>
  <si>
    <t xml:space="preserve">Foreign CB holdings. Flat since 2015 peak -- routing gap begins here.</t>
  </si>
  <si>
    <t xml:space="preserve">Private foreign Treasury (TIC-visible, $B)</t>
  </si>
  <si>
    <t xml:space="preserve">Barth-Beltran TIC-visible portion: $423B end-Y8. TVR = this / total basis trade.</t>
  </si>
  <si>
    <t xml:space="preserve">Private foreign Treasury (TIC-INVISIBLE, $B)</t>
  </si>
  <si>
    <t xml:space="preserve">Basis trade exposure invisible via FICC novation. Barth-Beltran: $1,427B invisible end-Y8.</t>
  </si>
  <si>
    <t xml:space="preserve">Other foreign dollar claims ($B)</t>
  </si>
  <si>
    <t xml:space="preserve">TOTAL LIABILITIES</t>
  </si>
  <si>
    <t xml:space="preserve">NET INTERNATIONAL INVESTMENT POSITION (NIIP)</t>
  </si>
  <si>
    <t xml:space="preserve">NIIP = Total Assets - Total Liabilities ($B)</t>
  </si>
  <si>
    <t xml:space="preserve">Real-world: US NIIP = -$26.5T end-2024. Toy model scaled ratios.</t>
  </si>
  <si>
    <t xml:space="preserve">FLOWS</t>
  </si>
  <si>
    <t xml:space="preserve">Each year's deficit = net new claims issued on AmeriCo. Stock accumulates without ceiling.</t>
  </si>
  <si>
    <t xml:space="preserve">FRACTIONAL MEASURES</t>
  </si>
  <si>
    <t xml:space="preserve">κ_paper = K_total / Y_productive</t>
  </si>
  <si>
    <t xml:space="preserve">Rising. FISIM contamination means κ_real diverges lower. Core κ divergence theorem claim.</t>
  </si>
  <si>
    <t xml:space="preserve">NIIP / GDP</t>
  </si>
  <si>
    <t xml:space="preserve">Interest burden at 4%: ~$300B/yr on official reserves alone by Y8.</t>
  </si>
  <si>
    <t xml:space="preserve">TVR = TIC-visible / (TIC-visible + TIC-invisible)</t>
  </si>
  <si>
    <t xml:space="preserve">Barth-Beltran: TVR = $423B / $1,850B = 22.9% end-Y8. Structural gauge failure.</t>
  </si>
  <si>
    <t xml:space="preserve">GovCo  |  AmeriCo Treasury &amp; Finance Ministry  |  Sovereign Debt Issuer</t>
  </si>
  <si>
    <t xml:space="preserve">Notes</t>
  </si>
  <si>
    <t xml:space="preserve">Y10+</t>
  </si>
  <si>
    <t xml:space="preserve">Tax &amp; fee revenue ($B, annual flow)</t>
  </si>
  <si>
    <t xml:space="preserve">ASSUMPTIONS r55</t>
  </si>
  <si>
    <t xml:space="preserve">Other government assets ($B)</t>
  </si>
  <si>
    <t xml:space="preserve">Reserves, land, enterprise stakes</t>
  </si>
  <si>
    <t xml:space="preserve">GovCo bonds held by FedCo ($B)  [SFC: = FedCo Treasury holdings]</t>
  </si>
  <si>
    <t xml:space="preserve">FedCo!Treasury r4</t>
  </si>
  <si>
    <t xml:space="preserve">Foreign private holdings via basis trade chain ($B)  [= GlobalBankCo repo book = TIC-vis + TIC-invis combined]</t>
  </si>
  <si>
    <t xml:space="preserve">GlobalBankCo total repo book (TIC-vis + TIC-invis = same bonds)</t>
  </si>
  <si>
    <t xml:space="preserve">Official reserve liabilities ($B)  [= AmeriCo r10 = foreign central bank Treasury holdings]</t>
  </si>
  <si>
    <t xml:space="preserve">AmeriCo official reserve liabilities (foreign CB holdings)</t>
  </si>
  <si>
    <t xml:space="preserve">GovCo bonds held domestic ($B)</t>
  </si>
  <si>
    <t xml:space="preserve">Residual = total - FedCo - foreign</t>
  </si>
  <si>
    <t xml:space="preserve">TOTAL LIABILITIES (GovCo bonds outstanding, $B)</t>
  </si>
  <si>
    <t xml:space="preserve">FISCAL FLOWS</t>
  </si>
  <si>
    <t xml:space="preserve">Tax revenue ($B)</t>
  </si>
  <si>
    <t xml:space="preserve">Government spending ($B)</t>
  </si>
  <si>
    <t xml:space="preserve">Interest on outstanding bonds ($B)</t>
  </si>
  <si>
    <t xml:space="preserve">Rate times total bonds outstanding prior year</t>
  </si>
  <si>
    <t xml:space="preserve">Fiscal deficit ($B) = spending + interest - revenue</t>
  </si>
  <si>
    <t xml:space="preserve">Debt / GDP</t>
  </si>
  <si>
    <t xml:space="preserve">Foreign-held share of GovCo bonds (visible + invisible)</t>
  </si>
  <si>
    <t xml:space="preserve">FedCo-held share of GovCo bonds</t>
  </si>
  <si>
    <t xml:space="preserve">Interest burden / tax revenue (debt service ratio)</t>
  </si>
  <si>
    <t xml:space="preserve">TIC-invisible / foreign private chain (reporting gap -- ClearCo novated / total repo)</t>
  </si>
  <si>
    <t xml:space="preserve">Rising = structural reporting gap widening</t>
  </si>
  <si>
    <t xml:space="preserve">JapanCo  |  Surplus Accumulator  |  JapCBCo = Central Bank  |  JapY = Domestic Currency</t>
  </si>
  <si>
    <t xml:space="preserve">JapCBCo official FX reserves ($B)</t>
  </si>
  <si>
    <t xml:space="preserve">JapCBCo = JapanCo central bank. Flat since Y0 peak. Routing gap = CA surplus not here.</t>
  </si>
  <si>
    <t xml:space="preserve">Deposit at GlobalBankCo ($B)</t>
  </si>
  <si>
    <t xml:space="preserve">State rerouting channel. SLR entry point. SFC: = GlobalBankCo!liability_to_JapanCo.</t>
  </si>
  <si>
    <t xml:space="preserve">Productive capital (domestic, JapY-denominated, $B equiv)</t>
  </si>
  <si>
    <t xml:space="preserve">High κ_paper domestic economy. Export-led accumulation model. JapY = JapanCo domestic currency.</t>
  </si>
  <si>
    <t xml:space="preserve">JapInv project claims ($B)</t>
  </si>
  <si>
    <t xml:space="preserve">Outward project lending (BRI analog). Claims on CommodityCo sovereigns.</t>
  </si>
  <si>
    <t xml:space="preserve">Domestic monetary base (JapY)</t>
  </si>
  <si>
    <t xml:space="preserve">Sterilization bonds ($B equiv)</t>
  </si>
  <si>
    <t xml:space="preserve">Cost of sterilization rises with reserve stock. Political economy constraint on JapY revaluation.</t>
  </si>
  <si>
    <t xml:space="preserve">Routing gap (cumul. CA surplus - JapCBCo reserve chg, $B)</t>
  </si>
  <si>
    <t xml:space="preserve">Real-world: $2.7T by Y9/2025 (Setser/IMF). Dollars not in official reserves.</t>
  </si>
  <si>
    <t xml:space="preserve">Private channel open?</t>
  </si>
  <si>
    <t xml:space="preserve">GlobalBankCo deposit share of routing gap</t>
  </si>
  <si>
    <t xml:space="preserve">CommodityCo  |  Commodity Sovereign  |  Exogenous Shock Origin  |  Generic in Publication</t>
  </si>
  <si>
    <t xml:space="preserve">Liquid dollar buffer. Withdrawal triggers DCR shock at GlobalBankCo (Path A).</t>
  </si>
  <si>
    <t xml:space="preserve">Direct Treasury holdings ($B)</t>
  </si>
  <si>
    <t xml:space="preserve">TIC-visible. Second liquidation target. Sale triggers yield spike (Path B).</t>
  </si>
  <si>
    <t xml:space="preserve">Commodity receivables ($B)</t>
  </si>
  <si>
    <t xml:space="preserve">Oil/gas/minerals. Price shock = exogenous trigger. Forces liquidation of dollar assets.</t>
  </si>
  <si>
    <t xml:space="preserve">Sovereign wealth fund (equity/alts, $B)</t>
  </si>
  <si>
    <t xml:space="preserve">Gold reserves ($B)  [Path C: outside banking chain]</t>
  </si>
  <si>
    <t xml:space="preserve">Gold proceeds -&gt; GBC deposit (stress yr, temp)  [SFC: = GBC gold_temp_dep]</t>
  </si>
  <si>
    <t xml:space="preserve">Sovereign debt (USD-denominated, $B)</t>
  </si>
  <si>
    <t xml:space="preserve">JapInv project obligations ($B)</t>
  </si>
  <si>
    <t xml:space="preserve">SFC: = JapanCo!JapInv_project_claims. Cross-actor identity.</t>
  </si>
  <si>
    <t xml:space="preserve">Short-term import financing ($B)</t>
  </si>
  <si>
    <t xml:space="preserve">CLC = L_liquid / (S_short + B_JapInv)</t>
  </si>
  <si>
    <t xml:space="preserve">Liquidity cliff. Below 1.2: forced liquidation. L_liquid = deposit + direct Treasury. S_short = USD sovereign debt. B_JapInv = JapInv project obligations due.</t>
  </si>
  <si>
    <t xml:space="preserve">CLC hard constraint breach (&lt; 1.0) -- forced liquidation is accounting consequence</t>
  </si>
  <si>
    <t xml:space="preserve">CLC (ex-gold): liquid w/o gold / obligations</t>
  </si>
  <si>
    <t xml:space="preserve">CLC early warning (&lt; 1.2) -- buffer thinning, precautionary liquidation possible</t>
  </si>
  <si>
    <t xml:space="preserve">ClearCo  |  Novation &amp; Clearing Entity  |  Mirrors FICC CCP function</t>
  </si>
  <si>
    <t xml:space="preserve">Novated GovCo bond collateral ($B)  [SFC: = RepoCo off-balance novated Treasury r13]</t>
  </si>
  <si>
    <t xml:space="preserve">CCP holds novated bonds</t>
  </si>
  <si>
    <t xml:space="preserve">Novated repo obligation to RepoCo ($B)  [SFC: = ClearCo assets -- CCP substituted as CCP]</t>
  </si>
  <si>
    <t xml:space="preserve">CCP owes back to RepoCo</t>
  </si>
  <si>
    <t xml:space="preserve">NET POSITION (Assets - Liabilities)  [Must = 0: ClearCo is pure pass-through]</t>
  </si>
  <si>
    <t xml:space="preserve">ANALYTICAL NOTE</t>
  </si>
  <si>
    <t xml:space="preserve">Novation fraction (ASSUMPTIONS r39) -- % of repo book routed through ClearCo</t>
  </si>
  <si>
    <t xml:space="preserve">ClearCo bonds / GlobalBankCo total repo book -- chain invisibility ratio</t>
  </si>
  <si>
    <t xml:space="preserve">NOTE: ClearCo holds the novated GovCo bonds as central counterparty. TIC reporting sees ClearCo (domestic CCP) not the original foreign funding chain. This is the structural reporting break -- not fraud, not concealment. The bond exists. The chain is severed at this step.</t>
  </si>
  <si>
    <t xml:space="preserve">GlobalBankCo  |  International Bank  |  SLR Valve  |  Deposit-to-Repo Router</t>
  </si>
  <si>
    <t xml:space="preserve">Repo loans to RepoCo ($B)  [SFC: = RepoCo!repo_payable_to_GlobalBankCo]</t>
  </si>
  <si>
    <t xml:space="preserve">Path B: SLR-constrained deposits routed to repo. SFC identity: this = RepoCo repo payable to GlobalBankCo.</t>
  </si>
  <si>
    <t xml:space="preserve">Gold-funded additional repo to RepoCo (stress yr)  [SFC: = RepoCo!gold_repo]</t>
  </si>
  <si>
    <t xml:space="preserve">Direct Treasury (Path A, HQLA, $B)</t>
  </si>
  <si>
    <t xml:space="preserve">Path A: when SLR not binding, deposits -&gt; direct Treasury. TIC-visible. Stable demand.</t>
  </si>
  <si>
    <t xml:space="preserve">Other loans ($B)</t>
  </si>
  <si>
    <t xml:space="preserve">Reserves at FedCo ($B)</t>
  </si>
  <si>
    <t xml:space="preserve">Count toward SLR denominator. Post-COVID reserve glut constrained SLR for major banks.</t>
  </si>
  <si>
    <t xml:space="preserve">Deposits from JapanCo ($B)  [SFC: = JapanCo!deposit_at_GlobalBankCo]</t>
  </si>
  <si>
    <t xml:space="preserve">SFC identity enforced by formula. BIS LBS code G proxy (loans+deposits, inseparable -- structural BIS limitation).</t>
  </si>
  <si>
    <t xml:space="preserve">Deposits from CommodityCo ($B)  [SFC: = CommodityCo!deposit_at_GlobalBankCo]</t>
  </si>
  <si>
    <t xml:space="preserve">Second sovereign deposit source. Withdrawal at stress = CLC breach trigger.</t>
  </si>
  <si>
    <t xml:space="preserve">Gold proceeds temp deposit (stress yr)  [SFC: = CommodityCo!gold_proceeds]</t>
  </si>
  <si>
    <t xml:space="preserve">Wholesale funding ($B)</t>
  </si>
  <si>
    <t xml:space="preserve">Other liabilities ($B)</t>
  </si>
  <si>
    <t xml:space="preserve">DCR = (Dep_JapanCo + Dep_CommodityCo) / Repo_book</t>
  </si>
  <si>
    <t xml:space="preserve">Deposit Coverage Ratio. DCR &lt; 1 = repo book exceeds sovereign deposit base. DCR decline signals withdrawal risk. Pressure gauge for Path A trigger.</t>
  </si>
  <si>
    <t xml:space="preserve">SLR (simplified) = Tier1 / Total Exposure</t>
  </si>
  <si>
    <t xml:space="preserve">Simplified SLR. Tier1 ~8% of assets. Total exposure = total assets + off-BS items. Minimum 5% (US GSIBs). SLR reform Nov 2025 changes denominator.</t>
  </si>
  <si>
    <t xml:space="preserve">SLR binding? (&lt; constraint threshold = YES)</t>
  </si>
  <si>
    <t xml:space="preserve">AUGMENTED COVERAGE RATIO (ACR): DCR + gold proceeds / Repo book -- TEMPORARY FALSE STABILIZATION signal. NOT baseline DCR. Rises in stress year before Path A/B fire.</t>
  </si>
  <si>
    <t xml:space="preserve">RepoCo  |  Repo Desk  |  FICC Member  |  TIC Chain Break Point</t>
  </si>
  <si>
    <t xml:space="preserve">ASSETS (on balance sheet)</t>
  </si>
  <si>
    <t xml:space="preserve">Treasury collateral (pre-novation, on books, $B)</t>
  </si>
  <si>
    <t xml:space="preserve">Before FICC novation. Visible on RepoCo books and in TIC.</t>
  </si>
  <si>
    <t xml:space="preserve">Repo receivable from HedgeCo ($B)  [SFC: = HedgeCo!repo_payable_to_RepoCo]</t>
  </si>
  <si>
    <t xml:space="preserve">Mirror: RepoCo lends cash to HedgeCo against Treasury collateral.</t>
  </si>
  <si>
    <t xml:space="preserve">Gold-funded additional repo recv from GBC (stress yr)</t>
  </si>
  <si>
    <t xml:space="preserve">TOTAL ASSETS (on balance sheet)</t>
  </si>
  <si>
    <t xml:space="preserve">LIABILITIES (on balance sheet)</t>
  </si>
  <si>
    <t xml:space="preserve">Repo payable to GlobalBankCo ($B)  [SFC: = GlobalBankCo!repo_loans_to_RepoCo]</t>
  </si>
  <si>
    <t xml:space="preserve">SFC identity: must equal GlobalBankCo repo loans to RepoCo.</t>
  </si>
  <si>
    <t xml:space="preserve">DERIVATIVE / OFF-BALANCE-SHEET (FICC novation -- TIC chain break)</t>
  </si>
  <si>
    <t xml:space="preserve">Treasury collateral (post-FICC novation, OFF books, $B)</t>
  </si>
  <si>
    <t xml:space="preserve">CRITICAL: After FICC novation, these Treasuries move to FICC CCP. TIC reporting stops here. Foreign funding origin invisible. This is the structural source of the $1.4T Barth-Beltran gap.</t>
  </si>
  <si>
    <t xml:space="preserve">CV = Repo gross notional / Treasury collateral (on-books)</t>
  </si>
  <si>
    <t xml:space="preserve">Collateral Velocity. Rising = same Treasury pledged multiple times. Each rehypothecation = one more link where TIC chain breaks.</t>
  </si>
  <si>
    <t xml:space="preserve">TIC gap at RepoCo = novated Treasury / total repo book</t>
  </si>
  <si>
    <t xml:space="preserve">Fraction of repo book where TIC chain is broken. Rising with FICC novation fraction assumption.</t>
  </si>
  <si>
    <t xml:space="preserve">HedgeCo  |  Basis Trade Vehicle  |  Cayman-Registered  |  20-50x Leverage</t>
  </si>
  <si>
    <t xml:space="preserve">Long cash Treasury, repo-funded ($B)</t>
  </si>
  <si>
    <t xml:space="preserve">Long leg of basis trade. Funded by repo from RepoCo. NOT in TIC (Cayman + FICC novation breaks chain).</t>
  </si>
  <si>
    <t xml:space="preserve">Gold-funded additional cash Treasury (stress yr)  [Path C recycled]</t>
  </si>
  <si>
    <t xml:space="preserve">Margin posted at exchange ($B)</t>
  </si>
  <si>
    <t xml:space="preserve">Small fraction of gross notional. Varies daily with mark-to-market.</t>
  </si>
  <si>
    <t xml:space="preserve">Repo payable to RepoCo ($B)  [SFC: = RepoCo!repo_receivable_from_HedgeCo]</t>
  </si>
  <si>
    <t xml:space="preserve">SFC identity: must equal RepoCo repo receivable from HedgeCo. If called by RepoCo, HedgeCo must sell cash Treasuries immediately.</t>
  </si>
  <si>
    <t xml:space="preserve">DERIVATIVES (gross notional -- NOT on standard balance sheet)</t>
  </si>
  <si>
    <t xml:space="preserve">Short Treasury futures (exchange, $B notional)</t>
  </si>
  <si>
    <t xml:space="preserve">Short leg of basis trade. CFTC TFF reports this. Real-world: $1,050B net short (Mar 2026, all tenors incl Ultra 10yr). NOT in TIC, NOT in bank balance sheets.</t>
  </si>
  <si>
    <t xml:space="preserve">Gross basis trade exposure (cash + futures, $B)</t>
  </si>
  <si>
    <t xml:space="preserve">Total gross exposure. Barth-Beltran end-Y8 total: $1,850B. This is what FedCo must absorb in full unwind.</t>
  </si>
  <si>
    <t xml:space="preserve">Leverage = Gross exposure / Equity</t>
  </si>
  <si>
    <t xml:space="preserve">Gross exposure / equity ($10B fixed). Starts ~23x (Y0). Rises as position scales against fixed equity base. Note: leverage narrative in description calibrated to Y0 entry level.</t>
  </si>
  <si>
    <t xml:space="preserve">BTAR numerator = Gross basis trade exposure ($B)</t>
  </si>
  <si>
    <t xml:space="preserve">Basis Trade Absorption Ratio numerator. Full unwind = this amount in Treasury selling into stressed market. BTAR = this / FedCo remaining headroom (see MEASURES sheet).</t>
  </si>
  <si>
    <t xml:space="preserve">STRESS SCENARIO (Y10+)</t>
  </si>
  <si>
    <t xml:space="preserve">Repo called (Path A): HedgeCo forced cash Treasury sale ($B)</t>
  </si>
  <si>
    <t xml:space="preserve">CommodityCo deposit withdrawal -&gt; GlobalBankCo calls repo -&gt; RepoCo calls HedgeCo.</t>
  </si>
  <si>
    <t xml:space="preserve">Margin breach (Path B): futures margin call ($B)</t>
  </si>
  <si>
    <t xml:space="preserve">Yield spike from CommodityCo Treasury sale -&gt; futures P&amp;L negative -&gt; margin breach.</t>
  </si>
  <si>
    <t xml:space="preserve">FedCo  |  AmeriCo Central Bank  |  Absorber of Last Resort  |  Pressure Gauge</t>
  </si>
  <si>
    <t xml:space="preserve">Treasury holdings ($B)</t>
  </si>
  <si>
    <t xml:space="preserve">Real-world: Fed peaked $5.7T Treasuries Apr 2022. QT since. Y10+ stress: emergency absorption of HedgeCo unwind.</t>
  </si>
  <si>
    <t xml:space="preserve">MBS holdings ($B)</t>
  </si>
  <si>
    <t xml:space="preserve">TOTAL ASSETS (Balance Sheet, $B)</t>
  </si>
  <si>
    <t xml:space="preserve">Bank reserves ($B)</t>
  </si>
  <si>
    <t xml:space="preserve">Each dollar of Treasury purchase = one dollar of reserves. Stress absorption = reserve expansion.</t>
  </si>
  <si>
    <t xml:space="preserve">Currency in circulation ($B)</t>
  </si>
  <si>
    <t xml:space="preserve">RRP (reverse repo, overnight, $B)</t>
  </si>
  <si>
    <t xml:space="preserve">Excess reserves parked at Fed. High RRP = system has more reserves than it wants.</t>
  </si>
  <si>
    <t xml:space="preserve">Fed BS / GDP</t>
  </si>
  <si>
    <t xml:space="preserve">Primary pressure gauge. At 38-40% = productive base constraint binding. Part II hard threshold.</t>
  </si>
  <si>
    <t xml:space="preserve">Remaining headroom ($B) = ceiling (40% GDP) - current BS</t>
  </si>
  <si>
    <t xml:space="preserve">BTAR denominator. Full basis trade unwind absorbs X% of this.</t>
  </si>
  <si>
    <t xml:space="preserve">STRESS (Y10+)</t>
  </si>
  <si>
    <t xml:space="preserve">Emergency Treasury purchase = HedgeCo forced sale ($B)</t>
  </si>
  <si>
    <t xml:space="preserve">SFC: FedCo buys what HedgeCo sells. The absorber IS the underlying. Balance sheet expands in the same asset under stress.</t>
  </si>
  <si>
    <t xml:space="preserve">SFC CHECK -- All cells must be GREEN. Red = model error in accounting identities.</t>
  </si>
  <si>
    <t xml:space="preserve">SFC IDENTITY CHECKS -- difference = 0 means identity holds</t>
  </si>
  <si>
    <t xml:space="preserve">IDENTITY</t>
  </si>
  <si>
    <t xml:space="preserve">DESCRIPTION</t>
  </si>
  <si>
    <t xml:space="preserve">1: JapanCo dep = GlobalBankCo liab to JapanCo</t>
  </si>
  <si>
    <t xml:space="preserve">JapanCo asset must equal GlobalBankCo liability. Core SFC constraint.</t>
  </si>
  <si>
    <t xml:space="preserve">2: CommodityCo dep = GlobalBankCo liab to CommodityCo</t>
  </si>
  <si>
    <t xml:space="preserve">CommodityCo asset must equal GlobalBankCo liability.</t>
  </si>
  <si>
    <t xml:space="preserve">3: GlobalBankCo repo = RepoCo repo payable</t>
  </si>
  <si>
    <t xml:space="preserve">Repo book must balance across the two counterparties.</t>
  </si>
  <si>
    <t xml:space="preserve">4: RepoCo repo recv = HedgeCo repo payable</t>
  </si>
  <si>
    <t xml:space="preserve">RepoCo receivable = HedgeCo liability.</t>
  </si>
  <si>
    <t xml:space="preserve">5: HedgeCo cash Treasury = RepoCo repo receivable</t>
  </si>
  <si>
    <t xml:space="preserve">Cash long position funded by repo = repo receivable from RepoCo's perspective.</t>
  </si>
  <si>
    <t xml:space="preserve">6: CommodityCo JapInv liab = JapanCo JapInv asset</t>
  </si>
  <si>
    <t xml:space="preserve">JapInv project obligations on CommodityCo = claims on JapanCo.</t>
  </si>
  <si>
    <t xml:space="preserve">7: FedCo Y0 Treasury = ASSUMPTIONS input; Y1+: BS/GDP &lt;= ceiling</t>
  </si>
  <si>
    <t xml:space="preserve">Y0: exact match check. Y1+: ceiling not breached (0 if OK, positive if breach).</t>
  </si>
  <si>
    <t xml:space="preserve">8: CommodityCo gold proceeds = GBC gold temp deposit</t>
  </si>
  <si>
    <t xml:space="preserve">9: GBC gold-funded repo = RepoCo gold-funded repo recv</t>
  </si>
  <si>
    <t xml:space="preserve">10: RepoCo gold repo recv = HedgeCo gold-funded Treasury</t>
  </si>
  <si>
    <t xml:space="preserve">11: ClearCo net position = 0 (pure pass-through CCP)</t>
  </si>
  <si>
    <t xml:space="preserve">SUMMARY: count of non-zero cells above (should be zero)</t>
  </si>
  <si>
    <t xml:space="preserve">Non-zero cells (errors)</t>
  </si>
  <si>
    <t xml:space="preserve">FRACTIONAL MEASURES -- All formula-driven. Defined for external calibration.</t>
  </si>
  <si>
    <t xml:space="preserve">PRESSURE GAUGE SUMMARY</t>
  </si>
  <si>
    <t xml:space="preserve">DCR  --  Deposit Coverage Ratio</t>
  </si>
  <si>
    <t xml:space="preserve">GlobalBankCo!r20</t>
  </si>
  <si>
    <t xml:space="preserve">Below 1.0: repo book exceeds sovereign deposit base. Withdrawal risk rising. Path A trigger imminent.</t>
  </si>
  <si>
    <t xml:space="preserve">CLC  --  CommodityCo Liquidity Cliff</t>
  </si>
  <si>
    <t xml:space="preserve">CommodityCo!r19</t>
  </si>
  <si>
    <t xml:space="preserve">CommodityCo!r19. Below 1.2 = early warning (buffer thinning). Below 1.0 = hard constraint breach (forced liquidation is accounting consequence).</t>
  </si>
  <si>
    <t xml:space="preserve">CV  --  Collateral Velocity</t>
  </si>
  <si>
    <t xml:space="preserve">RepoCo!r16</t>
  </si>
  <si>
    <t xml:space="preserve">Rising CV = more rehypothecation. Each additional link = one more TIC break point.</t>
  </si>
  <si>
    <t xml:space="preserve">TVR  --  TIC Visibility Ratio</t>
  </si>
  <si>
    <t xml:space="preserve">Formula: TVR = TIC-visible / (TIC-visible + TIC-invisible)</t>
  </si>
  <si>
    <t xml:space="preserve">Structural gauge failure. Barth-Beltran: 22.9% end-Y8. 77.1% of basis trade invisible to Fed in real time.</t>
  </si>
  <si>
    <t xml:space="preserve">BTAR  --  Basis Trade Absorption Ratio</t>
  </si>
  <si>
    <t xml:space="preserve">HedgeCo gross / (FedCo headroom + HedgeCo gross)</t>
  </si>
  <si>
    <t xml:space="preserve">HedgeCo gross exposure / (FedCo headroom + HedgeCo gross). Y0=31.2%, Y8=79.2%, Y10+=88.1%. Rising toward capacity ceiling as basis trade scales and headroom is consumed.</t>
  </si>
  <si>
    <t xml:space="preserve">Fed BS/GDP  --  Balance Sheet / GDP</t>
  </si>
  <si>
    <t xml:space="preserve">Formula: Fed BS / GDP</t>
  </si>
  <si>
    <t xml:space="preserve">At 38-40%: productive base constraint binding. Part II hard threshold.</t>
  </si>
  <si>
    <t xml:space="preserve">Capital-Output Ratio (κ_paper)  --  K_financial / Y_productive</t>
  </si>
  <si>
    <t xml:space="preserve">Formula: kappa_paper = K_real / Y_productive (FISIM-adjusted)</t>
  </si>
  <si>
    <t xml:space="preserve">κ divergence theorem. Rising κ_paper diverges from κ_real as FISIM grows. Connection to Part V formal framework.</t>
  </si>
  <si>
    <t xml:space="preserve">CONTAGION TAB — Stress Transmission Scenarios</t>
  </si>
  <si>
    <t xml:space="preserve">Three scenarios. One ratchet table. One JapCBCo appreciation sub-table. Price impact = net forced selling / assumed absorption capacity. All outputs in daily equivalents where relevant.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</si>
  <si>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</si>
  <si>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</si>
  <si>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</si>
  <si>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</si>
  <si>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</si>
  <si>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Total</t>
  </si>
  <si>
    <t xml:space="preserve">Units</t>
  </si>
  <si>
    <t xml:space="preserve">SCENARIO ONE — Price Shock | March 2020 Calibration | Partial unwind 30%/day</t>
  </si>
  <si>
    <t xml:space="preserve">INPUTS</t>
  </si>
  <si>
    <t xml:space="preserve">HedgeCo position at shock ($B)</t>
  </si>
  <si>
    <t xml:space="preserve">2020 historical</t>
  </si>
  <si>
    <t xml:space="preserve">$B</t>
  </si>
  <si>
    <t xml:space="preserve">Leverage ratio at shock</t>
  </si>
  <si>
    <t xml:space="preserve">2020 historical ~20:1</t>
  </si>
  <si>
    <t xml:space="preserve">x</t>
  </si>
  <si>
    <t xml:space="preserve">Equity buffer ($B) = position / leverage</t>
  </si>
  <si>
    <t xml:space="preserve">Price decline — calibration (%)</t>
  </si>
  <si>
    <t xml:space="preserve">March 2020 observed</t>
  </si>
  <si>
    <t xml:space="preserve">Price decline — stress test (%)</t>
  </si>
  <si>
    <t xml:space="preserve">Wipeout at 30:1 leverage</t>
  </si>
  <si>
    <t xml:space="preserve">Partial unwind fraction per day</t>
  </si>
  <si>
    <t xml:space="preserve">30% of remaining position</t>
  </si>
  <si>
    <t xml:space="preserve">Market absorption capacity per day ($B)</t>
  </si>
  <si>
    <t xml:space="preserve">Normal market depth -- drops in stress</t>
  </si>
  <si>
    <t xml:space="preserve">Yield spike per $100B net selling (bps)</t>
  </si>
  <si>
    <t xml:space="preserve">Price impact function</t>
  </si>
  <si>
    <t xml:space="preserve">MECHANICS — Calibration scenario (2% price decline)</t>
  </si>
  <si>
    <t xml:space="preserve">Remaining HedgeCo position ($B)</t>
  </si>
  <si>
    <t xml:space="preserve">After forced selling each day</t>
  </si>
  <si>
    <t xml:space="preserve">HedgeCo equity remaining ($B)</t>
  </si>
  <si>
    <t xml:space="preserve">Equity - mark-to-market loss on position</t>
  </si>
  <si>
    <t xml:space="preserve">Collateral value decline ($B) — repo margin call trigger</t>
  </si>
  <si>
    <t xml:space="preserve">Price decline × remaining position → repo lender calls</t>
  </si>
  <si>
    <t xml:space="preserve">Futures variation margin due ($B) — simultaneous cash + futures squeeze</t>
  </si>
  <si>
    <t xml:space="preserve">Cash bond down → collateral down → futures margin called simultaneously</t>
  </si>
  <si>
    <t xml:space="preserve">Forced selling volume ($B/day)</t>
  </si>
  <si>
    <t xml:space="preserve">30% of remaining position per day</t>
  </si>
  <si>
    <t xml:space="preserve">Net selling beyond absorption capacity ($B/day)</t>
  </si>
  <si>
    <t xml:space="preserve">Day1: full absorption. Day2+: 5% absorption (panic - all assets sold)</t>
  </si>
  <si>
    <t xml:space="preserve">Yield spike (bps/day) = net selling / 100 × impact function</t>
  </si>
  <si>
    <t xml:space="preserve">Price impact = net forced selling relative to absorption capacity</t>
  </si>
  <si>
    <t xml:space="preserve">bps</t>
  </si>
  <si>
    <t xml:space="preserve">OUTPUTS — Calibration scenario</t>
  </si>
  <si>
    <t xml:space="preserve">Total forced selling ($B)</t>
  </si>
  <si>
    <t xml:space="preserve">Total yield spike (bps)</t>
  </si>
  <si>
    <t xml:space="preserve">Equity wipeout — day number</t>
  </si>
  <si>
    <t xml:space="preserve">day</t>
  </si>
  <si>
    <t xml:space="preserve">FedCo absorption required ($B) = total forced selling beyond absorption</t>
  </si>
  <si>
    <t xml:space="preserve">CALIBRATION SHORTCUT: total_forced × 3.85 cascade multiplier. Anchored to ~$1,600B March 2020 historical. Mechanical transmission would require: price-impact function → second-order selling → cascade amplification → FedCo intervention threshold. Multiplier approximates observed cascade at 2020 position size.</t>
  </si>
  <si>
    <t xml:space="preserve">BTAR pre-shock (from main model Y8)</t>
  </si>
  <si>
    <t xml:space="preserve">Pulled from MEASURES tab</t>
  </si>
  <si>
    <t xml:space="preserve">BTAR post-shock = (HedgeCo Y8 + FedCo absorption) / FedCo capacity</t>
  </si>
  <si>
    <t xml:space="preserve">Residual headroom ($B)</t>
  </si>
  <si>
    <t xml:space="preserve">Ceiling breach? If absorption &gt; FedCo headroom → yield escalation</t>
  </si>
  <si>
    <t xml:space="preserve">Spillover $B</t>
  </si>
  <si>
    <t xml:space="preserve">SCENARIO TWO — Funding Shock | September 2019 Calibration | Partial unwind 30%/day</t>
  </si>
  <si>
    <t xml:space="preserve">Leverage ratio</t>
  </si>
  <si>
    <t xml:space="preserve">Equity buffer ($B)</t>
  </si>
  <si>
    <t xml:space="preserve">Repo rate — normal (%)</t>
  </si>
  <si>
    <t xml:space="preserve">Repo rate — stressed (%)</t>
  </si>
  <si>
    <t xml:space="preserve">September 2019 observed spike</t>
  </si>
  <si>
    <t xml:space="preserve">HedgeCo spread (% annualized)</t>
  </si>
  <si>
    <t xml:space="preserve">Roll failure fraction — share of repo that cannot be rolled</t>
  </si>
  <si>
    <t xml:space="preserve">Funding quantity constraint separate from price</t>
  </si>
  <si>
    <t xml:space="preserve">MECHANICS</t>
  </si>
  <si>
    <t xml:space="preserve">Daily carry at normal repo rate (% annualized)</t>
  </si>
  <si>
    <t xml:space="preserve">%</t>
  </si>
  <si>
    <t xml:space="preserve">Daily carry at stressed repo rate — carry turns sharply negative</t>
  </si>
  <si>
    <t xml:space="preserve">Stressed rate makes carry sharply negative; roll becomes uneconomic</t>
  </si>
  <si>
    <t xml:space="preserve">Position that cannot be rolled ($B) — funding quantity constraint</t>
  </si>
  <si>
    <t xml:space="preserve">Roll failure fraction × position</t>
  </si>
  <si>
    <t xml:space="preserve">Remaining position ($B)</t>
  </si>
  <si>
    <t xml:space="preserve">Forced selling ($B/day) — cannot roll + unwind of remaining</t>
  </si>
  <si>
    <t xml:space="preserve">Net selling beyond absorption ($B/day)</t>
  </si>
  <si>
    <t xml:space="preserve">Yield spike (bps/day)</t>
  </si>
  <si>
    <t xml:space="preserve">FedCo injection required ($B)</t>
  </si>
  <si>
    <t xml:space="preserve">total_forced × 0.88 (calibrated to ~$400B Sept 2019). No cascade -- repo injection.</t>
  </si>
  <si>
    <t xml:space="preserve">BTAR pre-shock</t>
  </si>
  <si>
    <t xml:space="preserve">BTAR post-shock</t>
  </si>
  <si>
    <t xml:space="preserve">Ceiling breach?</t>
  </si>
  <si>
    <t xml:space="preserve">SCENARIO THREE — CommodityCo Infrastructure Shock | Combined Price + Funding | Forward Projection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</si>
  <si>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</si>
  <si>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</si>
  <si>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</si>
  <si>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</si>
  <si>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</si>
  <si>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CommodityCo monthly dollar receivables ($B)</t>
  </si>
  <si>
    <t xml:space="preserve">Normal monthly revenue</t>
  </si>
  <si>
    <t xml:space="preserve">Infrastructure interruption — months of zero receivables</t>
  </si>
  <si>
    <t xml:space="preserve">Physical production/transit capacity interrupted</t>
  </si>
  <si>
    <t xml:space="preserve">months</t>
  </si>
  <si>
    <t xml:space="preserve">CLC starting value (from main model Y8)</t>
  </si>
  <si>
    <t xml:space="preserve">Pulled from CommodityCo sheet</t>
  </si>
  <si>
    <t xml:space="preserve">ratio</t>
  </si>
  <si>
    <t xml:space="preserve">CommodityCo liquid assets ($B, Y8)</t>
  </si>
  <si>
    <t xml:space="preserve">CommodityCo near-term obligations ($B/month)</t>
  </si>
  <si>
    <t xml:space="preserve">Debt service + import financing roll (monthly)</t>
  </si>
  <si>
    <t xml:space="preserve">$B/mo</t>
  </si>
  <si>
    <t xml:space="preserve">Gold reserves ($B, Y8)</t>
  </si>
  <si>
    <t xml:space="preserve">Gold liquidation fraction (stress)</t>
  </si>
  <si>
    <t xml:space="preserve">Path C: gold proceeds routing to GlobalBankCo (%)</t>
  </si>
  <si>
    <t xml:space="preserve">Proceeds temporarily increase deposits subject to BS constraints</t>
  </si>
  <si>
    <t xml:space="preserve">HedgeCo position at shock ($B, Y8)</t>
  </si>
  <si>
    <t xml:space="preserve">Leverage at shock (Y8)</t>
  </si>
  <si>
    <t xml:space="preserve">Partial unwind fraction per month</t>
  </si>
  <si>
    <t xml:space="preserve">Market absorption capacity per month ($B)</t>
  </si>
  <si>
    <t xml:space="preserve">CLC = liquid assets / monthly obligations cumulative</t>
  </si>
  <si>
    <t xml:space="preserve">Falls as receivables stop arriving</t>
  </si>
  <si>
    <t xml:space="preserve">CLC breach (below 1.0) — liquidation is accounting consequence</t>
  </si>
  <si>
    <t xml:space="preserve">PATH C: Gold liquidation proceeds ($B)</t>
  </si>
  <si>
    <t xml:space="preserve">Fires month 2 when CLC approaches breach</t>
  </si>
  <si>
    <t xml:space="preserve">PATH C: Gold proceeds temporarily increase GlobalBankCo deposits ($B) — observable metrics can improve temporarily</t>
  </si>
  <si>
    <t xml:space="preserve">Subject to balance-sheet constraints. False stabilization signal in DCR.</t>
  </si>
  <si>
    <t xml:space="preserve">PATH A: Deposit withdrawal from GlobalBankCo ($B)</t>
  </si>
  <si>
    <t xml:space="preserve">Fires month 3 -- repo called -- RepoCo calls HedgeCo</t>
  </si>
  <si>
    <t xml:space="preserve">PATH B: Direct GovCo bond sales ($B)</t>
  </si>
  <si>
    <t xml:space="preserve">Fires month 3 simultaneously with Path A -- dual-channel hit on HedgeCo</t>
  </si>
  <si>
    <t xml:space="preserve">Combined forced selling ($B/month) — Path A + Path B + HedgeCo unwind</t>
  </si>
  <si>
    <t xml:space="preserve">HedgeCo hit simultaneously from funding (A) and price (B) channels</t>
  </si>
  <si>
    <t xml:space="preserve">Net selling beyond absorption ($B/month)</t>
  </si>
  <si>
    <t xml:space="preserve">Yield spike (bps/month)</t>
  </si>
  <si>
    <t xml:space="preserve">OUTPUTS — Forward projection</t>
  </si>
  <si>
    <t xml:space="preserve">Path C false stabilization window (months before A+B fire)</t>
  </si>
  <si>
    <t xml:space="preserve">FedCo absorption required ($B)</t>
  </si>
  <si>
    <t xml:space="preserve">RATCHET TABLE — Compounding across three episodes</t>
  </si>
  <si>
    <t xml:space="preserve">S1 and S2 FedCo absorption computed by calibration multiplier (not fully endogenous transmission). S1 × 3.85 anchored to March 2020 (~$1.6T). S2 × 0.88 anchored to September 2019 (~$400B). S3 absorption is mechanically derived.</t>
  </si>
  <si>
    <t xml:space="preserve">Scenario</t>
  </si>
  <si>
    <t xml:space="preserve">FedCo Absorption ($B)</t>
  </si>
  <si>
    <t xml:space="preserve">BTAR Pre</t>
  </si>
  <si>
    <t xml:space="preserve">BTAR Post</t>
  </si>
  <si>
    <t xml:space="preserve">Headroom pre-shock ($B)</t>
  </si>
  <si>
    <t xml:space="preserve">Headroom post-shock ($B) [negative = ceiling breach]</t>
  </si>
  <si>
    <t xml:space="preserve">QT Recovery ($B)</t>
  </si>
  <si>
    <t xml:space="preserve">Recovery Duration (months)</t>
  </si>
  <si>
    <t xml:space="preserve">Residual BTAR</t>
  </si>
  <si>
    <t xml:space="preserve">S1: Price Shock (2020 analog)</t>
  </si>
  <si>
    <t xml:space="preserve">S2: Funding Shock (2019 analog)</t>
  </si>
  <si>
    <t xml:space="preserve">S3: CommodityCo Infrastructure Shock (forward)</t>
  </si>
  <si>
    <t xml:space="preserve">NOTE: Negative headroom = FedCo balance sheet already in breach of productive-base ceiling before next shock arrives. S2 and S3 pre-shock headroom negative because QT recovery is incomplete. This is the ratchet: each episode leaves the system more constrained than it started.</t>
  </si>
  <si>
    <t xml:space="preserve">JAPCBCO APPRECIATION LOOP — Why JapCBCo cannot allow currency appreciation</t>
  </si>
  <si>
    <t xml:space="preserve">ASSUMPTION: Reserves marked in yen. Sterilization liabilities fixed in nominal yen. Appreciation creates immediate accounting loss on reserve stock.</t>
  </si>
  <si>
    <t xml:space="preserve">Line Item</t>
  </si>
  <si>
    <t xml:space="preserve">Break-even</t>
  </si>
  <si>
    <t xml:space="preserve">JapCBCo dollar reserve stock ($B)</t>
  </si>
  <si>
    <t xml:space="preserve">JapanCo!C4 Y0</t>
  </si>
  <si>
    <t xml:space="preserve">Exchange rate base (JPY per USD)</t>
  </si>
  <si>
    <t xml:space="preserve">JPY/USD</t>
  </si>
  <si>
    <t xml:space="preserve">Sterilization bond stock (JPY trillion)</t>
  </si>
  <si>
    <t xml:space="preserve">Fixed nominal yen liability</t>
  </si>
  <si>
    <t xml:space="preserve">JPY B</t>
  </si>
  <si>
    <t xml:space="preserve">Appreciation percentage</t>
  </si>
  <si>
    <t xml:space="preserve">New exchange rate (JPY/USD)</t>
  </si>
  <si>
    <t xml:space="preserve">Reserve value in JPY at new rate (JPY trillion)</t>
  </si>
  <si>
    <t xml:space="preserve">Accounting loss on reserves vs sterilization liabilities (JPY trillion)</t>
  </si>
  <si>
    <t xml:space="preserve">sterilization stock - reserve value at new rate</t>
  </si>
  <si>
    <t xml:space="preserve">Loss as % of reserve stock</t>
  </si>
  <si>
    <t xml:space="preserve">Break-even appreciation threshold: appreciation % at which reserve value in JPY = sterilization liability stock. Y0 = 0%: opening reserves exactly match sterilization liabilities by construction. Y2-Y8: small tolerance opens as reserves grow slightly faster than sterilization stock. This is a fixed-liability accounting threshold, not an empirical market tolerance.</t>
  </si>
  <si>
    <t xml:space="preserve">0% means ALREADY at limit. Any appreciation causes accounting loss on reserve stock.</t>
  </si>
  <si>
    <t xml:space="preserve">IMPLICATION: Larger reserve stock → lower break-even appreciation tolerance. Each year of surplus accumulation tightens the constraint further. This is not behavioral resistance to appreciation. It is the accounting consequence of the position.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</si>
</sst>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$#,##0;&quot;($&quot;#,##0\);\-"/>
    <numFmt numFmtId="166" formatCode="0.0%"/>
    <numFmt numFmtId="167" formatCode="0"/>
    <numFmt numFmtId="168" formatCode="0&quot;bps&quot;"/>
    <numFmt numFmtId="169" formatCode="0.0"/>
    <numFmt numFmtId="170" formatCode="\$#,##0"/>
    <numFmt numFmtId="171" formatCode="0.00"/>
    <numFmt numFmtId="172" formatCode="@"/>
    <numFmt numFmtId="173" formatCode="0.00\x"/>
    <numFmt numFmtId="174" formatCode="0.00;\(0.00\);\-"/>
    <numFmt numFmtId="175" formatCode="0.0\x"/>
    <numFmt numFmtId="176" formatCode="0.0\x;\(0.0&quot;x)&quot;;\-"/>
    <numFmt numFmtId="177" formatCode="\$#,##0.0;&quot;($&quot;#,##0.0\);\-"/>
    <numFmt numFmtId="178" formatCode="0;\(0\);\-"/>
    <numFmt numFmtId="179" formatCode="0.0%;\(0.0%\);\-"/>
    <numFmt numFmtId="180" formatCode="\$#,##0.0"/>
    <numFmt numFmtId="181" formatCode="0.00%"/>
    <numFmt numFmtId="182" formatCode="#,##0"/>
    <numFmt numFmtId="183" formatCode="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339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3399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10"/>
      <color rgb="FF8B0000"/>
      <name val="Arial"/>
      <family val="0"/>
      <charset val="1"/>
    </font>
    <font>
      <sz val="10"/>
      <color rgb="FFB8860B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9"/>
      <color rgb="FF8B4000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10"/>
      <color rgb="FF4B0082"/>
      <name val="Arial"/>
      <family val="0"/>
      <charset val="1"/>
    </font>
    <font>
      <sz val="10"/>
      <color rgb="FF99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90EE90"/>
      <name val="Arial"/>
      <family val="0"/>
      <charset val="1"/>
    </font>
    <font>
      <b val="true"/>
      <sz val="9"/>
      <color rgb="FFAAFFAA"/>
      <name val="Arial"/>
      <family val="0"/>
      <charset val="1"/>
    </font>
    <font>
      <sz val="10"/>
      <color rgb="FF00AA00"/>
      <name val="Arial"/>
      <family val="0"/>
      <charset val="1"/>
    </font>
    <font>
      <i val="true"/>
      <sz val="9"/>
      <color rgb="FFB8860B"/>
      <name val="Arial"/>
      <family val="0"/>
      <charset val="1"/>
    </font>
    <font>
      <b val="true"/>
      <sz val="11"/>
      <color rgb="FFADD8FF"/>
      <name val="Arial"/>
      <family val="0"/>
      <charset val="1"/>
    </font>
    <font>
      <b val="true"/>
      <sz val="9"/>
      <color rgb="FFCCE5FF"/>
      <name val="Arial"/>
      <family val="0"/>
      <charset val="1"/>
    </font>
    <font>
      <b val="true"/>
      <sz val="11"/>
      <color rgb="FFFFAAAA"/>
      <name val="Arial"/>
      <family val="0"/>
      <charset val="1"/>
    </font>
    <font>
      <b val="true"/>
      <sz val="9"/>
      <color rgb="FFFFCCCC"/>
      <name val="Arial"/>
      <family val="0"/>
      <charset val="1"/>
    </font>
    <font>
      <b val="true"/>
      <sz val="11"/>
      <color rgb="FFFFFF99"/>
      <name val="Arial"/>
      <family val="0"/>
      <charset val="1"/>
    </font>
    <font>
      <b val="true"/>
      <sz val="11"/>
      <color rgb="FF99FFFF"/>
      <name val="Arial"/>
      <family val="0"/>
      <charset val="1"/>
    </font>
    <font>
      <i val="true"/>
      <sz val="10"/>
      <color rgb="FF006666"/>
      <name val="Arial"/>
      <family val="0"/>
      <charset val="1"/>
    </font>
    <font>
      <b val="true"/>
      <sz val="9"/>
      <color rgb="FFCC0000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293B57"/>
      </patternFill>
    </fill>
    <fill>
      <patternFill patternType="solid">
        <fgColor rgb="FFD9E2F3"/>
        <bgColor rgb="FFDBEAFE"/>
      </patternFill>
    </fill>
    <fill>
      <patternFill patternType="solid">
        <fgColor rgb="FF2E75B6"/>
        <bgColor rgb="FF4472C4"/>
      </patternFill>
    </fill>
    <fill>
      <patternFill patternType="solid">
        <fgColor rgb="FFFFF9E0"/>
        <bgColor rgb="FFFFFBE0"/>
      </patternFill>
    </fill>
    <fill>
      <patternFill patternType="solid">
        <fgColor rgb="FFDBEAFE"/>
        <bgColor rgb="FFE0EEFF"/>
      </patternFill>
    </fill>
    <fill>
      <patternFill patternType="solid">
        <fgColor rgb="FFE8F4E8"/>
        <bgColor rgb="FFF0F0F0"/>
      </patternFill>
    </fill>
    <fill>
      <patternFill patternType="solid">
        <fgColor rgb="FFFFF0E8"/>
        <bgColor rgb="FFFFF9E6"/>
      </patternFill>
    </fill>
    <fill>
      <patternFill patternType="solid">
        <fgColor rgb="FFFFFFFF"/>
        <bgColor rgb="FFFFFDE7"/>
      </patternFill>
    </fill>
    <fill>
      <patternFill patternType="solid">
        <fgColor rgb="FFFFFBE0"/>
        <bgColor rgb="FFFFF9E0"/>
      </patternFill>
    </fill>
    <fill>
      <patternFill patternType="solid">
        <fgColor rgb="FF4472C4"/>
        <bgColor rgb="FF2E75B6"/>
      </patternFill>
    </fill>
    <fill>
      <patternFill patternType="solid">
        <fgColor rgb="FFE0EEFF"/>
        <bgColor rgb="FFDBEAFE"/>
      </patternFill>
    </fill>
    <fill>
      <patternFill patternType="solid">
        <fgColor rgb="FFE8F4FD"/>
        <bgColor rgb="FFE0EEFF"/>
      </patternFill>
    </fill>
    <fill>
      <patternFill patternType="solid">
        <fgColor rgb="FFFFF2CC"/>
        <bgColor rgb="FFFFF9C4"/>
      </patternFill>
    </fill>
    <fill>
      <patternFill patternType="solid">
        <fgColor rgb="FFF0FFF0"/>
        <bgColor rgb="FFF5F5F5"/>
      </patternFill>
    </fill>
    <fill>
      <patternFill patternType="solid">
        <fgColor rgb="FFF0F0F0"/>
        <bgColor rgb="FFF5F5F5"/>
      </patternFill>
    </fill>
    <fill>
      <patternFill patternType="solid">
        <fgColor rgb="FFFFE0E0"/>
        <bgColor rgb="FFFFF0E8"/>
      </patternFill>
    </fill>
    <fill>
      <patternFill patternType="solid">
        <fgColor rgb="FFFFFDE7"/>
        <bgColor rgb="FFFFFBE0"/>
      </patternFill>
    </fill>
    <fill>
      <patternFill patternType="solid">
        <fgColor rgb="FFFFF9E6"/>
        <bgColor rgb="FFFFF9E0"/>
      </patternFill>
    </fill>
    <fill>
      <patternFill patternType="solid">
        <fgColor rgb="FF7030A0"/>
        <bgColor rgb="FF323E4D"/>
      </patternFill>
    </fill>
    <fill>
      <patternFill patternType="solid">
        <fgColor rgb="FFEEE0FF"/>
        <bgColor rgb="FFD9E2F3"/>
      </patternFill>
    </fill>
    <fill>
      <patternFill patternType="solid">
        <fgColor rgb="FFC00000"/>
        <bgColor rgb="FFCC0000"/>
      </patternFill>
    </fill>
    <fill>
      <patternFill patternType="solid">
        <fgColor rgb="FFF5F5F5"/>
        <bgColor rgb="FFF0F0F0"/>
      </patternFill>
    </fill>
    <fill>
      <patternFill patternType="solid">
        <fgColor rgb="FF293B57"/>
        <bgColor rgb="FF2C3E50"/>
      </patternFill>
    </fill>
    <fill>
      <patternFill patternType="solid">
        <fgColor rgb="FF1A2F1A"/>
        <bgColor rgb="FF1A2F2F"/>
      </patternFill>
    </fill>
    <fill>
      <patternFill patternType="solid">
        <fgColor rgb="FFFFF9C4"/>
        <bgColor rgb="FFFFF2CC"/>
      </patternFill>
    </fill>
    <fill>
      <patternFill patternType="solid">
        <fgColor rgb="FF1A1A2F"/>
        <bgColor rgb="FF1A2F2F"/>
      </patternFill>
    </fill>
    <fill>
      <patternFill patternType="mediumGray">
        <fgColor rgb="FF0E0643"/>
        <bgColor rgb="FF1A1A2F"/>
      </patternFill>
    </fill>
    <fill>
      <patternFill patternType="solid">
        <fgColor rgb="FF2F2F1A"/>
        <bgColor rgb="FF1A2F1A"/>
      </patternFill>
    </fill>
    <fill>
      <patternFill patternType="solid">
        <fgColor rgb="FF2C3E50"/>
        <bgColor rgb="FF323E4D"/>
      </patternFill>
    </fill>
    <fill>
      <patternFill patternType="solid">
        <fgColor rgb="FF1A2F2F"/>
        <bgColor rgb="FF1A2F1A"/>
      </patternFill>
    </fill>
    <fill>
      <patternFill patternType="solid">
        <fgColor rgb="FFE0FFFF"/>
        <bgColor rgb="FFE8F4FD"/>
      </patternFill>
    </fill>
    <fill>
      <patternFill patternType="darkGray">
        <fgColor rgb="FF2C3E50"/>
        <bgColor rgb="FF323E4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1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4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4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21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1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18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2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4" fontId="21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1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1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1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27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6" fontId="1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1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18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8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24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24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3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2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23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2" fontId="23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2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24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8" fillId="2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2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23" fillId="2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2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2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1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3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2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34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4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3" fillId="2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0F0F0"/>
      <rgbColor rgb="FF0000FF"/>
      <rgbColor rgb="FFFFF2CC"/>
      <rgbColor rgb="FFF5F5F5"/>
      <rgbColor rgb="FFE8F4FD"/>
      <rgbColor rgb="FF8B0000"/>
      <rgbColor rgb="FF00650B"/>
      <rgbColor rgb="FF0E0643"/>
      <rgbColor rgb="FFB8860B"/>
      <rgbColor rgb="FFC00000"/>
      <rgbColor rgb="FF00AE1B"/>
      <rgbColor rgb="FFCCE5FF"/>
      <rgbColor rgb="FF808080"/>
      <rgbColor rgb="FFDBEAFE"/>
      <rgbColor rgb="FF7030A0"/>
      <rgbColor rgb="FFFFF9C4"/>
      <rgbColor rgb="FFE0FFFF"/>
      <rgbColor rgb="FF293B57"/>
      <rgbColor rgb="FFFFE0E0"/>
      <rgbColor rgb="FF2E75B6"/>
      <rgbColor rgb="FFD9E2F3"/>
      <rgbColor rgb="FF1A1A2F"/>
      <rgbColor rgb="FFFFF9E6"/>
      <rgbColor rgb="FFFFFBE0"/>
      <rgbColor rgb="FFF0FFF0"/>
      <rgbColor rgb="FFFFF9E0"/>
      <rgbColor rgb="FF990000"/>
      <rgbColor rgb="FF2C3E50"/>
      <rgbColor rgb="FFFFFDE7"/>
      <rgbColor rgb="FF00B0F0"/>
      <rgbColor rgb="FFE0EEFF"/>
      <rgbColor rgb="FFE8F4E8"/>
      <rgbColor rgb="FFFFFF99"/>
      <rgbColor rgb="FFADD8FF"/>
      <rgbColor rgb="FFFFAAAA"/>
      <rgbColor rgb="FFEEE0FF"/>
      <rgbColor rgb="FFFFCCCC"/>
      <rgbColor rgb="FF4472C4"/>
      <rgbColor rgb="FF99FFFF"/>
      <rgbColor rgb="FF9DFC9D"/>
      <rgbColor rgb="FFFFC000"/>
      <rgbColor rgb="FFFFF0E8"/>
      <rgbColor rgb="FFED7D31"/>
      <rgbColor rgb="FF323E4D"/>
      <rgbColor rgb="FFA5A5A5"/>
      <rgbColor rgb="FF003399"/>
      <rgbColor rgb="FF70AD47"/>
      <rgbColor rgb="FF1A2F2F"/>
      <rgbColor rgb="FF1A2F1A"/>
      <rgbColor rgb="FF6D541F"/>
      <rgbColor rgb="FFCC0000"/>
      <rgbColor rgb="FF1F3864"/>
      <rgbColor rgb="FF2F2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9.5" hidden="false" customHeight="true" outlineLevel="0" collapsed="false">
      <c r="A1" s="2" t="s">
        <v>0</v>
      </c>
      <c r="B1" s="3" t="s">
        <v>1</v>
      </c>
    </row>
    <row r="2" customFormat="false" ht="15" hidden="false" customHeight="true" outlineLevel="0" collapsed="false">
      <c r="A2" s="4"/>
      <c r="B2" s="5"/>
    </row>
    <row r="3" customFormat="false" ht="30" hidden="false" customHeight="true" outlineLevel="0" collapsed="false">
      <c r="A3" s="6" t="s">
        <v>2</v>
      </c>
      <c r="B3" s="5" t="s">
        <v>3</v>
      </c>
    </row>
    <row r="4" customFormat="false" ht="15" hidden="false" customHeight="true" outlineLevel="0" collapsed="false">
      <c r="A4" s="4"/>
      <c r="B4" s="5"/>
    </row>
    <row r="5" customFormat="false" ht="30" hidden="false" customHeight="true" outlineLevel="0" collapsed="false">
      <c r="A5" s="6" t="s">
        <v>4</v>
      </c>
      <c r="B5" s="5" t="s">
        <v>5</v>
      </c>
    </row>
    <row r="6" customFormat="false" ht="15" hidden="false" customHeight="true" outlineLevel="0" collapsed="false">
      <c r="A6" s="4"/>
      <c r="B6" s="5"/>
    </row>
    <row r="7" customFormat="false" ht="30" hidden="false" customHeight="true" outlineLevel="0" collapsed="false">
      <c r="A7" s="6" t="s">
        <v>6</v>
      </c>
      <c r="B7" s="5" t="s">
        <v>7</v>
      </c>
    </row>
    <row r="8" customFormat="false" ht="15" hidden="false" customHeight="true" outlineLevel="0" collapsed="false">
      <c r="A8" s="4"/>
      <c r="B8" s="5"/>
    </row>
    <row r="9" customFormat="false" ht="30" hidden="false" customHeight="true" outlineLevel="0" collapsed="false">
      <c r="A9" s="6" t="s">
        <v>8</v>
      </c>
      <c r="B9" s="5" t="s">
        <v>9</v>
      </c>
    </row>
    <row r="10" customFormat="false" ht="15" hidden="false" customHeight="true" outlineLevel="0" collapsed="false">
      <c r="A10" s="4"/>
      <c r="B10" s="5"/>
    </row>
    <row r="11" customFormat="false" ht="30" hidden="false" customHeight="true" outlineLevel="0" collapsed="false">
      <c r="A11" s="6" t="s">
        <v>10</v>
      </c>
      <c r="B11" s="5" t="s">
        <v>11</v>
      </c>
    </row>
    <row r="12" customFormat="false" ht="15" hidden="false" customHeight="true" outlineLevel="0" collapsed="false">
      <c r="A12" s="4"/>
      <c r="B12" s="5"/>
    </row>
    <row r="13" customFormat="false" ht="30" hidden="false" customHeight="true" outlineLevel="0" collapsed="false">
      <c r="A13" s="6" t="s">
        <v>12</v>
      </c>
      <c r="B13" s="5" t="s">
        <v>13</v>
      </c>
    </row>
    <row r="14" customFormat="false" ht="15" hidden="false" customHeight="true" outlineLevel="0" collapsed="false">
      <c r="A14" s="4" t="s">
        <v>14</v>
      </c>
      <c r="B14" s="5" t="s">
        <v>15</v>
      </c>
    </row>
    <row r="15" customFormat="false" ht="15" hidden="false" customHeight="true" outlineLevel="0" collapsed="false">
      <c r="A15" s="4" t="s">
        <v>16</v>
      </c>
      <c r="B15" s="5" t="s">
        <v>17</v>
      </c>
    </row>
    <row r="16" customFormat="false" ht="15" hidden="false" customHeight="true" outlineLevel="0" collapsed="false">
      <c r="A16" s="4" t="s">
        <v>18</v>
      </c>
      <c r="B16" s="5" t="s">
        <v>19</v>
      </c>
    </row>
    <row r="17" customFormat="false" ht="15" hidden="false" customHeight="true" outlineLevel="0" collapsed="false">
      <c r="A17" s="4" t="s">
        <v>20</v>
      </c>
      <c r="B17" s="5" t="s">
        <v>21</v>
      </c>
    </row>
    <row r="18" customFormat="false" ht="30" hidden="false" customHeight="true" outlineLevel="0" collapsed="false">
      <c r="A18" s="4" t="s">
        <v>22</v>
      </c>
      <c r="B18" s="5" t="s">
        <v>23</v>
      </c>
    </row>
    <row r="19" customFormat="false" ht="15" hidden="false" customHeight="true" outlineLevel="0" collapsed="false">
      <c r="A19" s="4" t="s">
        <v>24</v>
      </c>
      <c r="B19" s="5" t="s">
        <v>25</v>
      </c>
    </row>
    <row r="20" customFormat="false" ht="15" hidden="false" customHeight="true" outlineLevel="0" collapsed="false">
      <c r="A20" s="4" t="s">
        <v>26</v>
      </c>
      <c r="B20" s="5" t="s">
        <v>27</v>
      </c>
    </row>
    <row r="21" customFormat="false" ht="15" hidden="false" customHeight="true" outlineLevel="0" collapsed="false">
      <c r="A21" s="4" t="s">
        <v>28</v>
      </c>
      <c r="B21" s="5" t="s">
        <v>29</v>
      </c>
    </row>
    <row r="22" customFormat="false" ht="15" hidden="false" customHeight="true" outlineLevel="0" collapsed="false">
      <c r="A22" s="4" t="s">
        <v>30</v>
      </c>
      <c r="B22" s="5" t="s">
        <v>31</v>
      </c>
    </row>
    <row r="23" customFormat="false" ht="15" hidden="false" customHeight="true" outlineLevel="0" collapsed="false">
      <c r="A23" s="4"/>
      <c r="B23" s="5"/>
    </row>
    <row r="24" customFormat="false" ht="30" hidden="false" customHeight="true" outlineLevel="0" collapsed="false">
      <c r="A24" s="6" t="s">
        <v>32</v>
      </c>
      <c r="B24" s="5" t="s">
        <v>33</v>
      </c>
    </row>
    <row r="25" customFormat="false" ht="15" hidden="false" customHeight="true" outlineLevel="0" collapsed="false">
      <c r="A25" s="4"/>
      <c r="B25" s="5"/>
    </row>
    <row r="26" customFormat="false" ht="30" hidden="false" customHeight="true" outlineLevel="0" collapsed="false">
      <c r="A26" s="6" t="s">
        <v>34</v>
      </c>
      <c r="B26" s="5" t="s">
        <v>35</v>
      </c>
    </row>
    <row r="27" customFormat="false" ht="15" hidden="false" customHeight="true" outlineLevel="0" collapsed="false">
      <c r="A27" s="4"/>
      <c r="B27" s="5"/>
    </row>
    <row r="28" customFormat="false" ht="30" hidden="false" customHeight="true" outlineLevel="0" collapsed="false">
      <c r="A28" s="6" t="s">
        <v>36</v>
      </c>
      <c r="B28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13" min="3" style="1" width="9"/>
  </cols>
  <sheetData>
    <row r="1" customFormat="false" ht="19.5" hidden="false" customHeight="true" outlineLevel="0" collapsed="false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.75" hidden="false" customHeight="true" outlineLevel="0" collapsed="false">
      <c r="A3" s="9" t="s">
        <v>52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3.5" hidden="false" customHeight="true" outlineLevel="0" collapsed="false">
      <c r="A4" s="10" t="s">
        <v>53</v>
      </c>
      <c r="B4" s="11" t="s">
        <v>54</v>
      </c>
      <c r="C4" s="12" t="n">
        <v>300</v>
      </c>
      <c r="D4" s="12" t="n">
        <v>310</v>
      </c>
      <c r="E4" s="12" t="n">
        <v>325</v>
      </c>
      <c r="F4" s="12" t="n">
        <v>340</v>
      </c>
      <c r="G4" s="12" t="n">
        <v>330</v>
      </c>
      <c r="H4" s="12" t="n">
        <v>345</v>
      </c>
      <c r="I4" s="12" t="n">
        <v>365</v>
      </c>
      <c r="J4" s="12" t="n">
        <v>380</v>
      </c>
      <c r="K4" s="12" t="n">
        <v>400</v>
      </c>
      <c r="L4" s="12" t="n">
        <v>415</v>
      </c>
      <c r="M4" s="12" t="n">
        <v>400</v>
      </c>
    </row>
    <row r="5" customFormat="false" ht="13.5" hidden="false" customHeight="true" outlineLevel="0" collapsed="false">
      <c r="A5" s="10" t="s">
        <v>55</v>
      </c>
      <c r="B5" s="11" t="s">
        <v>56</v>
      </c>
      <c r="C5" s="12" t="n">
        <v>280</v>
      </c>
      <c r="D5" s="12" t="n">
        <v>287</v>
      </c>
      <c r="E5" s="12" t="n">
        <v>294</v>
      </c>
      <c r="F5" s="12" t="n">
        <v>302</v>
      </c>
      <c r="G5" s="12" t="n">
        <v>288</v>
      </c>
      <c r="H5" s="12" t="n">
        <v>300</v>
      </c>
      <c r="I5" s="12" t="n">
        <v>308</v>
      </c>
      <c r="J5" s="12" t="n">
        <v>315</v>
      </c>
      <c r="K5" s="12" t="n">
        <v>320</v>
      </c>
      <c r="L5" s="12" t="n">
        <v>318</v>
      </c>
      <c r="M5" s="12" t="n">
        <v>300</v>
      </c>
    </row>
    <row r="6" customFormat="false" ht="13.5" hidden="false" customHeight="true" outlineLevel="0" collapsed="false">
      <c r="A6" s="10" t="s">
        <v>57</v>
      </c>
      <c r="B6" s="11" t="s">
        <v>58</v>
      </c>
      <c r="C6" s="12" t="n">
        <v>40</v>
      </c>
      <c r="D6" s="12" t="n">
        <v>45</v>
      </c>
      <c r="E6" s="12" t="n">
        <v>50</v>
      </c>
      <c r="F6" s="12" t="n">
        <v>55</v>
      </c>
      <c r="G6" s="12" t="n">
        <v>60</v>
      </c>
      <c r="H6" s="12" t="n">
        <v>65</v>
      </c>
      <c r="I6" s="12" t="n">
        <v>80</v>
      </c>
      <c r="J6" s="12" t="n">
        <v>90</v>
      </c>
      <c r="K6" s="12" t="n">
        <v>100</v>
      </c>
      <c r="L6" s="12" t="n">
        <v>110</v>
      </c>
      <c r="M6" s="12" t="n">
        <v>120</v>
      </c>
    </row>
    <row r="7" customFormat="false" ht="13.5" hidden="false" customHeight="true" outlineLevel="0" collapsed="false">
      <c r="A7" s="10" t="s">
        <v>59</v>
      </c>
      <c r="B7" s="11" t="s">
        <v>60</v>
      </c>
      <c r="C7" s="12" t="n">
        <v>-80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</row>
    <row r="8" customFormat="false" ht="13.5" hidden="false" customHeight="true" outlineLevel="0" collapsed="false">
      <c r="A8" s="10" t="s">
        <v>61</v>
      </c>
      <c r="B8" s="11" t="s">
        <v>62</v>
      </c>
      <c r="C8" s="12" t="n">
        <v>200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</row>
    <row r="9" customFormat="false" ht="13.5" hidden="false" customHeight="true" outlineLevel="0" collapsed="false">
      <c r="A9" s="10" t="s">
        <v>63</v>
      </c>
      <c r="B9" s="11" t="s">
        <v>64</v>
      </c>
      <c r="C9" s="13" t="n">
        <v>0.015</v>
      </c>
      <c r="D9" s="13" t="n">
        <v>0.015</v>
      </c>
      <c r="E9" s="13" t="n">
        <v>0.01</v>
      </c>
      <c r="F9" s="13" t="n">
        <v>0.005</v>
      </c>
      <c r="G9" s="13" t="n">
        <v>0</v>
      </c>
      <c r="H9" s="13" t="n">
        <v>-0.005</v>
      </c>
      <c r="I9" s="13" t="n">
        <v>-0.003</v>
      </c>
      <c r="J9" s="13" t="n">
        <v>0.002</v>
      </c>
      <c r="K9" s="13" t="n">
        <v>0.005</v>
      </c>
      <c r="L9" s="13" t="n">
        <v>0.003</v>
      </c>
      <c r="M9" s="13" t="n">
        <v>0</v>
      </c>
    </row>
    <row r="11" customFormat="false" ht="15.75" hidden="false" customHeight="true" outlineLevel="0" collapsed="false">
      <c r="A11" s="9" t="s">
        <v>65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3.5" hidden="false" customHeight="true" outlineLevel="0" collapsed="false">
      <c r="A12" s="10" t="s">
        <v>66</v>
      </c>
      <c r="B12" s="11" t="s">
        <v>67</v>
      </c>
      <c r="C12" s="12" t="n">
        <v>200</v>
      </c>
      <c r="D12" s="12" t="n">
        <v>210</v>
      </c>
      <c r="E12" s="12" t="n">
        <v>350</v>
      </c>
      <c r="F12" s="12" t="n">
        <v>420</v>
      </c>
      <c r="G12" s="12" t="n">
        <v>310</v>
      </c>
      <c r="H12" s="12" t="n">
        <v>350</v>
      </c>
      <c r="I12" s="12" t="n">
        <v>420</v>
      </c>
      <c r="J12" s="12" t="n">
        <v>250</v>
      </c>
      <c r="K12" s="12" t="n">
        <v>500</v>
      </c>
      <c r="L12" s="12" t="n">
        <v>600</v>
      </c>
      <c r="M12" s="12" t="n">
        <v>550</v>
      </c>
    </row>
    <row r="13" customFormat="false" ht="13.5" hidden="false" customHeight="true" outlineLevel="0" collapsed="false">
      <c r="A13" s="10" t="s">
        <v>68</v>
      </c>
      <c r="B13" s="11" t="s">
        <v>69</v>
      </c>
      <c r="C13" s="13" t="n">
        <v>0.05</v>
      </c>
      <c r="D13" s="13" t="n">
        <v>0.05</v>
      </c>
      <c r="E13" s="13" t="n">
        <v>0.05</v>
      </c>
      <c r="F13" s="13" t="n">
        <v>0.03</v>
      </c>
      <c r="G13" s="13" t="n">
        <v>0.02</v>
      </c>
      <c r="H13" s="13" t="n">
        <v>0.02</v>
      </c>
      <c r="I13" s="13" t="n">
        <v>0.01</v>
      </c>
      <c r="J13" s="13" t="n">
        <v>0.02</v>
      </c>
      <c r="K13" s="13" t="n">
        <v>0.01</v>
      </c>
      <c r="L13" s="13" t="n">
        <v>0.01</v>
      </c>
      <c r="M13" s="13" t="n">
        <v>0.01</v>
      </c>
    </row>
    <row r="14" customFormat="false" ht="13.5" hidden="false" customHeight="true" outlineLevel="0" collapsed="false">
      <c r="A14" s="10" t="s">
        <v>70</v>
      </c>
      <c r="B14" s="11" t="s">
        <v>71</v>
      </c>
      <c r="C14" s="13" t="n">
        <v>0.08</v>
      </c>
      <c r="D14" s="13" t="n">
        <v>0.09</v>
      </c>
      <c r="E14" s="13" t="n">
        <v>0.1</v>
      </c>
      <c r="F14" s="13" t="n">
        <v>0.1</v>
      </c>
      <c r="G14" s="13" t="n">
        <v>0.12</v>
      </c>
      <c r="H14" s="13" t="n">
        <v>0.13</v>
      </c>
      <c r="I14" s="13" t="n">
        <v>0.18</v>
      </c>
      <c r="J14" s="13" t="n">
        <v>0.15</v>
      </c>
      <c r="K14" s="13" t="n">
        <v>0.15</v>
      </c>
      <c r="L14" s="13" t="n">
        <v>0.14</v>
      </c>
      <c r="M14" s="13" t="n">
        <v>0.12</v>
      </c>
    </row>
    <row r="15" customFormat="false" ht="13.5" hidden="false" customHeight="true" outlineLevel="0" collapsed="false">
      <c r="A15" s="10" t="s">
        <v>72</v>
      </c>
      <c r="B15" s="11" t="s">
        <v>73</v>
      </c>
      <c r="C15" s="12" t="n">
        <v>8</v>
      </c>
      <c r="D15" s="12" t="n">
        <v>10</v>
      </c>
      <c r="E15" s="12" t="n">
        <v>15</v>
      </c>
      <c r="F15" s="12" t="n">
        <v>18</v>
      </c>
      <c r="G15" s="12" t="n">
        <v>15</v>
      </c>
      <c r="H15" s="12" t="n">
        <v>15</v>
      </c>
      <c r="I15" s="12" t="n">
        <v>14</v>
      </c>
      <c r="J15" s="12" t="n">
        <v>14</v>
      </c>
      <c r="K15" s="12" t="n">
        <v>14</v>
      </c>
      <c r="L15" s="12" t="n">
        <v>12</v>
      </c>
      <c r="M15" s="12" t="n">
        <v>12</v>
      </c>
    </row>
    <row r="16" customFormat="false" ht="13.5" hidden="false" customHeight="true" outlineLevel="0" collapsed="false">
      <c r="A16" s="10" t="s">
        <v>74</v>
      </c>
      <c r="B16" s="11" t="s">
        <v>75</v>
      </c>
      <c r="C16" s="14" t="n">
        <v>0</v>
      </c>
      <c r="D16" s="14" t="n">
        <v>0</v>
      </c>
      <c r="E16" s="14" t="n">
        <v>1</v>
      </c>
      <c r="F16" s="14" t="n">
        <v>1</v>
      </c>
      <c r="G16" s="14" t="n">
        <v>0</v>
      </c>
      <c r="H16" s="14" t="n">
        <v>0</v>
      </c>
      <c r="I16" s="14" t="n">
        <v>0</v>
      </c>
      <c r="J16" s="14" t="n">
        <v>1</v>
      </c>
      <c r="K16" s="14" t="n">
        <v>1</v>
      </c>
      <c r="L16" s="14" t="n">
        <v>1</v>
      </c>
      <c r="M16" s="14" t="n">
        <v>1</v>
      </c>
    </row>
    <row r="17" customFormat="false" ht="13.5" hidden="false" customHeight="true" outlineLevel="0" collapsed="false">
      <c r="A17" s="10" t="s">
        <v>76</v>
      </c>
      <c r="B17" s="11" t="s">
        <v>77</v>
      </c>
      <c r="C17" s="13" t="n">
        <v>0</v>
      </c>
      <c r="D17" s="13" t="n">
        <v>0</v>
      </c>
      <c r="E17" s="13" t="n">
        <v>0.05</v>
      </c>
      <c r="F17" s="13" t="n">
        <v>0.05</v>
      </c>
      <c r="G17" s="13" t="n">
        <v>0</v>
      </c>
      <c r="H17" s="13" t="n">
        <v>0</v>
      </c>
      <c r="I17" s="13" t="n">
        <v>0</v>
      </c>
      <c r="J17" s="13" t="n">
        <v>0.03</v>
      </c>
      <c r="K17" s="13" t="n">
        <v>0.04</v>
      </c>
      <c r="L17" s="13" t="n">
        <v>0.05</v>
      </c>
      <c r="M17" s="13" t="n">
        <v>0.05</v>
      </c>
    </row>
    <row r="19" customFormat="false" ht="15.75" hidden="false" customHeight="true" outlineLevel="0" collapsed="false">
      <c r="A19" s="9" t="s">
        <v>78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3.5" hidden="false" customHeight="true" outlineLevel="0" collapsed="false">
      <c r="A20" s="10" t="s">
        <v>79</v>
      </c>
      <c r="B20" s="11" t="s">
        <v>80</v>
      </c>
      <c r="C20" s="12" t="n">
        <v>60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</row>
    <row r="21" customFormat="false" ht="13.5" hidden="false" customHeight="true" outlineLevel="0" collapsed="false">
      <c r="A21" s="10" t="s">
        <v>81</v>
      </c>
      <c r="B21" s="11" t="s">
        <v>82</v>
      </c>
      <c r="C21" s="13" t="n">
        <v>0.05</v>
      </c>
      <c r="D21" s="13" t="n">
        <v>-0.1</v>
      </c>
      <c r="E21" s="13" t="n">
        <v>0.05</v>
      </c>
      <c r="F21" s="13" t="n">
        <v>0.1</v>
      </c>
      <c r="G21" s="13" t="n">
        <v>-0.45</v>
      </c>
      <c r="H21" s="13" t="n">
        <v>0.3</v>
      </c>
      <c r="I21" s="13" t="n">
        <v>0.2</v>
      </c>
      <c r="J21" s="13" t="n">
        <v>0.05</v>
      </c>
      <c r="K21" s="13" t="n">
        <v>0.1</v>
      </c>
      <c r="L21" s="13" t="n">
        <v>-0.05</v>
      </c>
      <c r="M21" s="13" t="n">
        <v>-0.5</v>
      </c>
    </row>
    <row r="22" customFormat="false" ht="13.5" hidden="false" customHeight="true" outlineLevel="0" collapsed="false">
      <c r="A22" s="10" t="s">
        <v>83</v>
      </c>
      <c r="B22" s="11" t="s">
        <v>84</v>
      </c>
      <c r="C22" s="12" t="n">
        <v>45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</row>
    <row r="23" customFormat="false" ht="13.5" hidden="false" customHeight="true" outlineLevel="0" collapsed="false">
      <c r="A23" s="10" t="s">
        <v>85</v>
      </c>
      <c r="B23" s="11" t="s">
        <v>86</v>
      </c>
      <c r="C23" s="13" t="n">
        <v>0.03</v>
      </c>
      <c r="D23" s="13" t="n">
        <v>0.04</v>
      </c>
      <c r="E23" s="13" t="n">
        <v>0.04</v>
      </c>
      <c r="F23" s="13" t="n">
        <v>0.03</v>
      </c>
      <c r="G23" s="13" t="n">
        <v>-0.06</v>
      </c>
      <c r="H23" s="13" t="n">
        <v>0.08</v>
      </c>
      <c r="I23" s="13" t="n">
        <v>0.06</v>
      </c>
      <c r="J23" s="13" t="n">
        <v>0.05</v>
      </c>
      <c r="K23" s="13" t="n">
        <v>0.05</v>
      </c>
      <c r="L23" s="13" t="n">
        <v>0.02</v>
      </c>
      <c r="M23" s="13" t="n">
        <v>-0.45</v>
      </c>
    </row>
    <row r="24" customFormat="false" ht="13.5" hidden="false" customHeight="true" outlineLevel="0" collapsed="false">
      <c r="A24" s="10" t="s">
        <v>87</v>
      </c>
      <c r="B24" s="11" t="s">
        <v>88</v>
      </c>
      <c r="C24" s="12" t="n">
        <v>20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</row>
    <row r="25" customFormat="false" ht="13.5" hidden="false" customHeight="true" outlineLevel="0" collapsed="false">
      <c r="A25" s="10" t="s">
        <v>89</v>
      </c>
      <c r="B25" s="11" t="s">
        <v>90</v>
      </c>
      <c r="C25" s="13" t="n">
        <v>0.02</v>
      </c>
      <c r="D25" s="13" t="n">
        <v>0.03</v>
      </c>
      <c r="E25" s="13" t="n">
        <v>0.03</v>
      </c>
      <c r="F25" s="13" t="n">
        <v>0.02</v>
      </c>
      <c r="G25" s="13" t="n">
        <v>-0.04</v>
      </c>
      <c r="H25" s="13" t="n">
        <v>0.06</v>
      </c>
      <c r="I25" s="13" t="n">
        <v>0.05</v>
      </c>
      <c r="J25" s="13" t="n">
        <v>0.04</v>
      </c>
      <c r="K25" s="13" t="n">
        <v>0.04</v>
      </c>
      <c r="L25" s="13" t="n">
        <v>0.02</v>
      </c>
      <c r="M25" s="13" t="n">
        <v>-0.47</v>
      </c>
    </row>
    <row r="26" customFormat="false" ht="15" hidden="false" customHeight="true" outlineLevel="0" collapsed="false">
      <c r="A26" s="15" t="s">
        <v>91</v>
      </c>
      <c r="C26" s="16" t="n">
        <v>25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</row>
    <row r="27" customFormat="false" ht="15.75" hidden="false" customHeight="true" outlineLevel="0" collapsed="false">
      <c r="A27" s="17" t="s">
        <v>92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13.5" hidden="false" customHeight="true" outlineLevel="0" collapsed="false">
      <c r="A28" s="15" t="s">
        <v>93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0.6</v>
      </c>
    </row>
    <row r="29" customFormat="false" ht="13.5" hidden="false" customHeight="true" outlineLevel="0" collapsed="false">
      <c r="A29" s="15" t="s">
        <v>94</v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0.8</v>
      </c>
    </row>
    <row r="30" customFormat="false" ht="13.5" hidden="false" customHeight="true" outlineLevel="0" collapsed="false">
      <c r="A30" s="19" t="s">
        <v>95</v>
      </c>
    </row>
    <row r="31" customFormat="false" ht="13.5" hidden="false" customHeight="true" outlineLevel="0" collapsed="false">
      <c r="A31" s="10" t="s">
        <v>96</v>
      </c>
      <c r="B31" s="11"/>
      <c r="C31" s="12" t="n">
        <v>25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</row>
    <row r="32" customFormat="false" ht="13.5" hidden="false" customHeight="true" outlineLevel="0" collapsed="false">
      <c r="A32" s="10" t="s">
        <v>97</v>
      </c>
      <c r="B32" s="11"/>
      <c r="C32" s="13" t="n">
        <v>0.03</v>
      </c>
      <c r="D32" s="13" t="n">
        <v>0.04</v>
      </c>
      <c r="E32" s="13" t="n">
        <v>0.04</v>
      </c>
      <c r="F32" s="13" t="n">
        <v>-0.05</v>
      </c>
      <c r="G32" s="13" t="n">
        <v>0.05</v>
      </c>
      <c r="H32" s="13" t="n">
        <v>0.04</v>
      </c>
      <c r="I32" s="13" t="n">
        <v>0.04</v>
      </c>
      <c r="J32" s="13" t="n">
        <v>0.03</v>
      </c>
      <c r="K32" s="13" t="n">
        <v>0.02</v>
      </c>
      <c r="L32" s="13" t="n">
        <v>-0.1</v>
      </c>
      <c r="M32" s="13" t="n">
        <v>-0.15</v>
      </c>
    </row>
    <row r="33" customFormat="false" ht="21.75" hidden="false" customHeight="true" outlineLevel="0" collapsed="false">
      <c r="A33" s="10" t="s">
        <v>98</v>
      </c>
      <c r="B33" s="11" t="s">
        <v>99</v>
      </c>
      <c r="C33" s="13" t="n">
        <v>0.05</v>
      </c>
      <c r="D33" s="13" t="n">
        <v>0.05</v>
      </c>
      <c r="E33" s="13" t="n">
        <v>0.05</v>
      </c>
      <c r="F33" s="13" t="n">
        <v>0.05</v>
      </c>
      <c r="G33" s="13" t="n">
        <v>0.05</v>
      </c>
      <c r="H33" s="13" t="n">
        <v>0.05</v>
      </c>
      <c r="I33" s="13" t="n">
        <v>0.05</v>
      </c>
      <c r="J33" s="13" t="n">
        <v>0.05</v>
      </c>
      <c r="K33" s="13" t="n">
        <v>0.05</v>
      </c>
      <c r="L33" s="13" t="n">
        <v>0.05</v>
      </c>
      <c r="M33" s="13" t="n">
        <v>0.05</v>
      </c>
    </row>
    <row r="34" customFormat="false" ht="15.75" hidden="false" customHeight="true" outlineLevel="0" collapsed="false">
      <c r="A34" s="20" t="s">
        <v>100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3.5" hidden="false" customHeight="true" outlineLevel="0" collapsed="false">
      <c r="A35" s="10" t="s">
        <v>101</v>
      </c>
      <c r="B35" s="11" t="s">
        <v>102</v>
      </c>
      <c r="C35" s="21" t="n">
        <v>5</v>
      </c>
      <c r="D35" s="21" t="n">
        <v>5</v>
      </c>
      <c r="E35" s="21" t="n">
        <v>5</v>
      </c>
      <c r="F35" s="21" t="n">
        <v>5</v>
      </c>
      <c r="G35" s="21" t="n">
        <v>8</v>
      </c>
      <c r="H35" s="21" t="n">
        <v>8</v>
      </c>
      <c r="I35" s="21" t="n">
        <v>6</v>
      </c>
      <c r="J35" s="21" t="n">
        <v>6</v>
      </c>
      <c r="K35" s="21" t="n">
        <v>6</v>
      </c>
      <c r="L35" s="21" t="n">
        <v>6</v>
      </c>
      <c r="M35" s="21" t="n">
        <v>6</v>
      </c>
    </row>
    <row r="36" customFormat="false" ht="13.5" hidden="false" customHeight="true" outlineLevel="0" collapsed="false"/>
    <row r="37" customFormat="false" ht="15" hidden="false" customHeight="true" outlineLevel="0" collapsed="false">
      <c r="A37" s="19" t="s">
        <v>103</v>
      </c>
    </row>
    <row r="38" customFormat="false" ht="15.75" hidden="false" customHeight="true" outlineLevel="0" collapsed="false">
      <c r="A38" s="20" t="s">
        <v>104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customFormat="false" ht="13.5" hidden="false" customHeight="true" outlineLevel="0" collapsed="false">
      <c r="A39" s="10" t="s">
        <v>105</v>
      </c>
      <c r="B39" s="11" t="s">
        <v>106</v>
      </c>
      <c r="C39" s="13" t="n">
        <v>0.25</v>
      </c>
      <c r="D39" s="13" t="n">
        <v>0.3</v>
      </c>
      <c r="E39" s="13" t="n">
        <v>0.35</v>
      </c>
      <c r="F39" s="13" t="n">
        <v>0.4</v>
      </c>
      <c r="G39" s="13" t="n">
        <v>0.5</v>
      </c>
      <c r="H39" s="13" t="n">
        <v>0.55</v>
      </c>
      <c r="I39" s="13" t="n">
        <v>0.7</v>
      </c>
      <c r="J39" s="13" t="n">
        <v>0.72</v>
      </c>
      <c r="K39" s="13" t="n">
        <v>0.75</v>
      </c>
      <c r="L39" s="13" t="n">
        <v>0.76</v>
      </c>
      <c r="M39" s="13" t="n">
        <v>0.76</v>
      </c>
    </row>
    <row r="40" customFormat="false" ht="13.5" hidden="false" customHeight="true" outlineLevel="0" collapsed="false"/>
    <row r="41" customFormat="false" ht="15" hidden="false" customHeight="true" outlineLevel="0" collapsed="false">
      <c r="A41" s="19" t="s">
        <v>107</v>
      </c>
      <c r="C41" s="22" t="n">
        <v>1.3</v>
      </c>
      <c r="D41" s="22" t="n">
        <v>1.3</v>
      </c>
      <c r="E41" s="22" t="n">
        <v>1.3</v>
      </c>
      <c r="F41" s="22" t="n">
        <v>1.3</v>
      </c>
      <c r="G41" s="22" t="n">
        <v>1.3</v>
      </c>
      <c r="H41" s="22" t="n">
        <v>1.3</v>
      </c>
      <c r="I41" s="22" t="n">
        <v>1.3</v>
      </c>
      <c r="J41" s="22" t="n">
        <v>1.3</v>
      </c>
      <c r="K41" s="22" t="n">
        <v>1.3</v>
      </c>
      <c r="L41" s="22" t="n">
        <v>1.3</v>
      </c>
      <c r="M41" s="22" t="n">
        <v>1.3</v>
      </c>
    </row>
    <row r="42" customFormat="false" ht="15.75" hidden="false" customHeight="true" outlineLevel="0" collapsed="false">
      <c r="A42" s="20" t="s">
        <v>108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customFormat="false" ht="13.5" hidden="false" customHeight="true" outlineLevel="0" collapsed="false">
      <c r="A43" s="10" t="s">
        <v>109</v>
      </c>
      <c r="B43" s="11" t="s">
        <v>110</v>
      </c>
      <c r="C43" s="23" t="n">
        <v>10</v>
      </c>
      <c r="D43" s="23" t="n">
        <v>10</v>
      </c>
      <c r="E43" s="23" t="n">
        <v>10</v>
      </c>
      <c r="F43" s="23" t="n">
        <v>10</v>
      </c>
      <c r="G43" s="23" t="n">
        <v>10</v>
      </c>
      <c r="H43" s="23" t="n">
        <v>10</v>
      </c>
      <c r="I43" s="23" t="n">
        <v>10</v>
      </c>
      <c r="J43" s="23" t="n">
        <v>10</v>
      </c>
      <c r="K43" s="23" t="n">
        <v>10</v>
      </c>
      <c r="L43" s="23" t="n">
        <v>10</v>
      </c>
      <c r="M43" s="23" t="n">
        <v>10</v>
      </c>
    </row>
    <row r="44" customFormat="false" ht="13.5" hidden="false" customHeight="true" outlineLevel="0" collapsed="false"/>
    <row r="45" customFormat="false" ht="13.5" hidden="false" customHeight="true" outlineLevel="0" collapsed="false">
      <c r="A45" s="19" t="s">
        <v>111</v>
      </c>
    </row>
    <row r="46" customFormat="false" ht="13.5" hidden="false" customHeight="true" outlineLevel="0" collapsed="false">
      <c r="A46" s="10" t="s">
        <v>112</v>
      </c>
      <c r="B46" s="11" t="s">
        <v>113</v>
      </c>
      <c r="C46" s="12" t="n">
        <v>64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</row>
    <row r="47" customFormat="false" ht="23.25" hidden="false" customHeight="true" outlineLevel="0" collapsed="false">
      <c r="A47" s="10" t="s">
        <v>114</v>
      </c>
      <c r="B47" s="11" t="s">
        <v>115</v>
      </c>
      <c r="C47" s="12" t="n">
        <v>8</v>
      </c>
      <c r="D47" s="12" t="n">
        <v>15</v>
      </c>
      <c r="E47" s="12" t="n">
        <v>15</v>
      </c>
      <c r="F47" s="12" t="n">
        <v>20</v>
      </c>
      <c r="G47" s="12" t="n">
        <v>80</v>
      </c>
      <c r="H47" s="12" t="n">
        <v>-8</v>
      </c>
      <c r="I47" s="12" t="n">
        <v>-20</v>
      </c>
      <c r="J47" s="12" t="n">
        <v>-25</v>
      </c>
      <c r="K47" s="12" t="n">
        <v>-15</v>
      </c>
      <c r="L47" s="12" t="n">
        <v>-8</v>
      </c>
      <c r="M47" s="12" t="n">
        <v>0</v>
      </c>
    </row>
    <row r="48" customFormat="false" ht="21.75" hidden="false" customHeight="true" outlineLevel="0" collapsed="false">
      <c r="A48" s="10" t="s">
        <v>116</v>
      </c>
      <c r="B48" s="11" t="s">
        <v>117</v>
      </c>
      <c r="C48" s="13" t="n">
        <v>1.3</v>
      </c>
      <c r="D48" s="13" t="n">
        <v>1.3</v>
      </c>
      <c r="E48" s="13" t="n">
        <v>1.3</v>
      </c>
      <c r="F48" s="13" t="n">
        <v>1.3</v>
      </c>
      <c r="G48" s="13" t="n">
        <v>1.3</v>
      </c>
      <c r="H48" s="13" t="n">
        <v>1.3</v>
      </c>
      <c r="I48" s="13" t="n">
        <v>1.3</v>
      </c>
      <c r="J48" s="13" t="n">
        <v>1.3</v>
      </c>
      <c r="K48" s="13" t="n">
        <v>1.3</v>
      </c>
      <c r="L48" s="13" t="n">
        <v>1.3</v>
      </c>
      <c r="M48" s="13" t="n">
        <v>1.3</v>
      </c>
    </row>
    <row r="49" customFormat="false" ht="32.25" hidden="false" customHeight="true" outlineLevel="0" collapsed="false">
      <c r="A49" s="10" t="s">
        <v>118</v>
      </c>
      <c r="B49" s="11" t="s">
        <v>119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45</v>
      </c>
    </row>
    <row r="51" customFormat="false" ht="15" hidden="false" customHeight="true" outlineLevel="0" collapsed="false">
      <c r="A51" s="24" t="s">
        <v>120</v>
      </c>
    </row>
    <row r="52" customFormat="false" ht="15" hidden="false" customHeight="true" outlineLevel="0" collapsed="false">
      <c r="A52" s="25" t="s">
        <v>121</v>
      </c>
      <c r="C52" s="26" t="n">
        <v>380</v>
      </c>
      <c r="D52" s="26" t="n">
        <v>380</v>
      </c>
      <c r="E52" s="26" t="n">
        <v>380</v>
      </c>
      <c r="F52" s="26" t="n">
        <v>380</v>
      </c>
      <c r="G52" s="26" t="n">
        <v>380</v>
      </c>
      <c r="H52" s="26" t="n">
        <v>380</v>
      </c>
      <c r="I52" s="26" t="n">
        <v>380</v>
      </c>
      <c r="J52" s="26" t="n">
        <v>380</v>
      </c>
      <c r="K52" s="26" t="n">
        <v>380</v>
      </c>
      <c r="L52" s="26" t="n">
        <v>380</v>
      </c>
      <c r="M52" s="26" t="n">
        <v>380</v>
      </c>
    </row>
    <row r="53" customFormat="false" ht="15" hidden="false" customHeight="true" outlineLevel="0" collapsed="false">
      <c r="A53" s="25" t="s">
        <v>122</v>
      </c>
      <c r="C53" s="27" t="n">
        <v>0.6</v>
      </c>
      <c r="D53" s="27" t="n">
        <v>0.6</v>
      </c>
      <c r="E53" s="27" t="n">
        <v>0.6</v>
      </c>
      <c r="F53" s="27" t="n">
        <v>0.6</v>
      </c>
      <c r="G53" s="27" t="n">
        <v>0.6</v>
      </c>
      <c r="H53" s="27" t="n">
        <v>0.6</v>
      </c>
      <c r="I53" s="27" t="n">
        <v>0.6</v>
      </c>
      <c r="J53" s="27" t="n">
        <v>0.6</v>
      </c>
      <c r="K53" s="27" t="n">
        <v>0.6</v>
      </c>
      <c r="L53" s="27" t="n">
        <v>0.6</v>
      </c>
      <c r="M53" s="27" t="n">
        <v>0.6</v>
      </c>
    </row>
    <row r="54" customFormat="false" ht="15" hidden="false" customHeight="true" outlineLevel="0" collapsed="false">
      <c r="A54" s="25" t="s">
        <v>123</v>
      </c>
      <c r="C54" s="27" t="n">
        <v>0.04</v>
      </c>
      <c r="D54" s="27" t="n">
        <v>0.04</v>
      </c>
      <c r="E54" s="27" t="n">
        <v>0.04</v>
      </c>
      <c r="F54" s="27" t="n">
        <v>0.04</v>
      </c>
      <c r="G54" s="27" t="n">
        <v>0.04</v>
      </c>
      <c r="H54" s="27" t="n">
        <v>0.04</v>
      </c>
      <c r="I54" s="27" t="n">
        <v>0.04</v>
      </c>
      <c r="J54" s="27" t="n">
        <v>0.04</v>
      </c>
      <c r="K54" s="27" t="n">
        <v>0.04</v>
      </c>
      <c r="L54" s="27" t="n">
        <v>0.04</v>
      </c>
      <c r="M54" s="27" t="n">
        <v>0.04</v>
      </c>
    </row>
    <row r="55" customFormat="false" ht="15" hidden="false" customHeight="true" outlineLevel="0" collapsed="false">
      <c r="A55" s="25" t="s">
        <v>124</v>
      </c>
      <c r="C55" s="26" t="n">
        <v>260</v>
      </c>
      <c r="D55" s="26" t="n">
        <v>260</v>
      </c>
      <c r="E55" s="26" t="n">
        <v>260</v>
      </c>
      <c r="F55" s="26" t="n">
        <v>260</v>
      </c>
      <c r="G55" s="26" t="n">
        <v>260</v>
      </c>
      <c r="H55" s="26" t="n">
        <v>260</v>
      </c>
      <c r="I55" s="26" t="n">
        <v>260</v>
      </c>
      <c r="J55" s="26" t="n">
        <v>260</v>
      </c>
      <c r="K55" s="26" t="n">
        <v>260</v>
      </c>
      <c r="L55" s="26" t="n">
        <v>260</v>
      </c>
      <c r="M55" s="26" t="n">
        <v>260</v>
      </c>
    </row>
    <row r="56" customFormat="false" ht="15" hidden="false" customHeight="true" outlineLevel="0" collapsed="false">
      <c r="A56" s="25" t="s">
        <v>125</v>
      </c>
      <c r="C56" s="26" t="n">
        <v>300</v>
      </c>
      <c r="D56" s="26" t="n">
        <v>300</v>
      </c>
      <c r="E56" s="26" t="n">
        <v>300</v>
      </c>
      <c r="F56" s="26" t="n">
        <v>300</v>
      </c>
      <c r="G56" s="26" t="n">
        <v>300</v>
      </c>
      <c r="H56" s="26" t="n">
        <v>300</v>
      </c>
      <c r="I56" s="26" t="n">
        <v>300</v>
      </c>
      <c r="J56" s="26" t="n">
        <v>300</v>
      </c>
      <c r="K56" s="26" t="n">
        <v>300</v>
      </c>
      <c r="L56" s="26" t="n">
        <v>300</v>
      </c>
      <c r="M56" s="26" t="n">
        <v>300</v>
      </c>
    </row>
  </sheetData>
  <mergeCells count="8">
    <mergeCell ref="A1:M1"/>
    <mergeCell ref="A3:M3"/>
    <mergeCell ref="A11:M11"/>
    <mergeCell ref="A19:M19"/>
    <mergeCell ref="A27:M27"/>
    <mergeCell ref="A34:M34"/>
    <mergeCell ref="A38:M38"/>
    <mergeCell ref="A42:M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126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127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21.75" hidden="false" customHeight="true" outlineLevel="0" collapsed="false">
      <c r="A4" s="29" t="s">
        <v>53</v>
      </c>
      <c r="B4" s="30" t="s">
        <v>128</v>
      </c>
      <c r="C4" s="31" t="n">
        <f aca="false">ASSUMPTIONS!C4</f>
        <v>300</v>
      </c>
      <c r="D4" s="31" t="n">
        <f aca="false">ASSUMPTIONS!D4</f>
        <v>310</v>
      </c>
      <c r="E4" s="31" t="n">
        <f aca="false">ASSUMPTIONS!E4</f>
        <v>325</v>
      </c>
      <c r="F4" s="31" t="n">
        <f aca="false">ASSUMPTIONS!F4</f>
        <v>340</v>
      </c>
      <c r="G4" s="31" t="n">
        <f aca="false">ASSUMPTIONS!G4</f>
        <v>330</v>
      </c>
      <c r="H4" s="31" t="n">
        <f aca="false">ASSUMPTIONS!H4</f>
        <v>345</v>
      </c>
      <c r="I4" s="31" t="n">
        <f aca="false">ASSUMPTIONS!I4</f>
        <v>365</v>
      </c>
      <c r="J4" s="31" t="n">
        <f aca="false">ASSUMPTIONS!J4</f>
        <v>380</v>
      </c>
      <c r="K4" s="31" t="n">
        <f aca="false">ASSUMPTIONS!K4</f>
        <v>400</v>
      </c>
      <c r="L4" s="31" t="n">
        <f aca="false">ASSUMPTIONS!L4</f>
        <v>415</v>
      </c>
      <c r="M4" s="31" t="n">
        <f aca="false">ASSUMPTIONS!M4</f>
        <v>400</v>
      </c>
    </row>
    <row r="5" customFormat="false" ht="21.75" hidden="false" customHeight="true" outlineLevel="0" collapsed="false">
      <c r="A5" s="29" t="s">
        <v>129</v>
      </c>
      <c r="B5" s="30" t="s">
        <v>130</v>
      </c>
      <c r="C5" s="32" t="n">
        <v>200</v>
      </c>
      <c r="D5" s="33" t="n">
        <f aca="false">C5*(1+0.02)</f>
        <v>204</v>
      </c>
      <c r="E5" s="33" t="n">
        <f aca="false">D5*(1+0.02)</f>
        <v>208.08</v>
      </c>
      <c r="F5" s="33" t="n">
        <f aca="false">E5*(1+0.02)</f>
        <v>212.2416</v>
      </c>
      <c r="G5" s="33" t="n">
        <f aca="false">F5*(1+0.02)</f>
        <v>216.486432</v>
      </c>
      <c r="H5" s="33" t="n">
        <f aca="false">G5*(1+0.02)</f>
        <v>220.81616064</v>
      </c>
      <c r="I5" s="33" t="n">
        <f aca="false">H5*(1+0.02)</f>
        <v>225.2324838528</v>
      </c>
      <c r="J5" s="33" t="n">
        <f aca="false">I5*(1+0.02)</f>
        <v>229.737133529856</v>
      </c>
      <c r="K5" s="33" t="n">
        <f aca="false">J5*(1+0.02)</f>
        <v>234.331876200453</v>
      </c>
      <c r="L5" s="33" t="n">
        <f aca="false">K5*(1+0.02)</f>
        <v>239.018513724462</v>
      </c>
      <c r="M5" s="33" t="n">
        <f aca="false">L5*(1+0.02)</f>
        <v>243.798883998951</v>
      </c>
    </row>
    <row r="6" customFormat="false" ht="15" hidden="false" customHeight="true" outlineLevel="0" collapsed="false">
      <c r="A6" s="29" t="s">
        <v>131</v>
      </c>
      <c r="B6" s="34"/>
      <c r="C6" s="32" t="n">
        <v>80</v>
      </c>
      <c r="D6" s="33" t="n">
        <f aca="false">C6*1.02</f>
        <v>81.6</v>
      </c>
      <c r="E6" s="33" t="n">
        <f aca="false">D6*1.02</f>
        <v>83.232</v>
      </c>
      <c r="F6" s="33" t="n">
        <f aca="false">E6*1.02</f>
        <v>84.89664</v>
      </c>
      <c r="G6" s="33" t="n">
        <f aca="false">F6*1.02</f>
        <v>86.5945728</v>
      </c>
      <c r="H6" s="33" t="n">
        <f aca="false">G6*1.02</f>
        <v>88.326464256</v>
      </c>
      <c r="I6" s="33" t="n">
        <f aca="false">H6*1.02</f>
        <v>90.09299354112</v>
      </c>
      <c r="J6" s="33" t="n">
        <f aca="false">I6*1.02</f>
        <v>91.8948534119424</v>
      </c>
      <c r="K6" s="33" t="n">
        <f aca="false">J6*1.02</f>
        <v>93.7327504801813</v>
      </c>
      <c r="L6" s="33" t="n">
        <f aca="false">K6*1.02</f>
        <v>95.6074054897849</v>
      </c>
      <c r="M6" s="33" t="n">
        <f aca="false">L6*1.02</f>
        <v>97.5195535995806</v>
      </c>
    </row>
    <row r="7" customFormat="false" ht="15" hidden="false" customHeight="true" outlineLevel="0" collapsed="false">
      <c r="A7" s="35" t="s">
        <v>132</v>
      </c>
      <c r="B7" s="34"/>
      <c r="C7" s="33" t="n">
        <f aca="false">SUM(C4:C6)</f>
        <v>580</v>
      </c>
      <c r="D7" s="33" t="n">
        <f aca="false">SUM(D4:D6)</f>
        <v>595.6</v>
      </c>
      <c r="E7" s="33" t="n">
        <f aca="false">SUM(E4:E6)</f>
        <v>616.312</v>
      </c>
      <c r="F7" s="33" t="n">
        <f aca="false">SUM(F4:F6)</f>
        <v>637.13824</v>
      </c>
      <c r="G7" s="33" t="n">
        <f aca="false">SUM(G4:G6)</f>
        <v>633.0810048</v>
      </c>
      <c r="H7" s="33" t="n">
        <f aca="false">SUM(H4:H6)</f>
        <v>654.142624896</v>
      </c>
      <c r="I7" s="33" t="n">
        <f aca="false">SUM(I4:I6)</f>
        <v>680.32547739392</v>
      </c>
      <c r="J7" s="33" t="n">
        <f aca="false">SUM(J4:J6)</f>
        <v>701.631986941799</v>
      </c>
      <c r="K7" s="33" t="n">
        <f aca="false">SUM(K4:K6)</f>
        <v>728.064626680634</v>
      </c>
      <c r="L7" s="33" t="n">
        <f aca="false">SUM(L4:L6)</f>
        <v>749.625919214247</v>
      </c>
      <c r="M7" s="33" t="n">
        <f aca="false">SUM(M4:M6)</f>
        <v>741.318437598532</v>
      </c>
    </row>
    <row r="9" customFormat="false" ht="15" hidden="false" customHeight="true" outlineLevel="0" collapsed="false">
      <c r="A9" s="9" t="s">
        <v>133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21.75" hidden="false" customHeight="true" outlineLevel="0" collapsed="false">
      <c r="A10" s="36" t="s">
        <v>134</v>
      </c>
      <c r="B10" s="37" t="s">
        <v>135</v>
      </c>
      <c r="C10" s="38" t="n">
        <f aca="false">ASSUMPTIONS!C8</f>
        <v>200</v>
      </c>
      <c r="D10" s="38" t="n">
        <f aca="false">C10*(1+ASSUMPTIONS!C9)</f>
        <v>203</v>
      </c>
      <c r="E10" s="38" t="n">
        <f aca="false">D10*(1+ASSUMPTIONS!C9)</f>
        <v>206.045</v>
      </c>
      <c r="F10" s="38" t="n">
        <f aca="false">E10*(1+ASSUMPTIONS!C9)</f>
        <v>209.135675</v>
      </c>
      <c r="G10" s="38" t="n">
        <f aca="false">F10*(1+ASSUMPTIONS!C9)</f>
        <v>212.272710125</v>
      </c>
      <c r="H10" s="38" t="n">
        <f aca="false">G10*(1+ASSUMPTIONS!C9)</f>
        <v>215.456800776875</v>
      </c>
      <c r="I10" s="38" t="n">
        <f aca="false">H10*(1+ASSUMPTIONS!C9)</f>
        <v>218.688652788528</v>
      </c>
      <c r="J10" s="38" t="n">
        <f aca="false">I10*(1+ASSUMPTIONS!C9)</f>
        <v>221.968982580356</v>
      </c>
      <c r="K10" s="38" t="n">
        <f aca="false">J10*(1+ASSUMPTIONS!C9)</f>
        <v>225.298517319061</v>
      </c>
      <c r="L10" s="38" t="n">
        <f aca="false">K10*(1+ASSUMPTIONS!C9)</f>
        <v>228.677995078847</v>
      </c>
      <c r="M10" s="38" t="n">
        <f aca="false">L10*(1+ASSUMPTIONS!C9)</f>
        <v>232.10816500503</v>
      </c>
    </row>
    <row r="11" customFormat="false" ht="21.75" hidden="false" customHeight="true" outlineLevel="0" collapsed="false">
      <c r="A11" s="36" t="s">
        <v>136</v>
      </c>
      <c r="B11" s="37" t="s">
        <v>137</v>
      </c>
      <c r="C11" s="39" t="n">
        <f aca="false">RepoCo!C4</f>
        <v>75</v>
      </c>
      <c r="D11" s="39" t="n">
        <f aca="false">RepoCo!D4</f>
        <v>88.0285</v>
      </c>
      <c r="E11" s="39" t="n">
        <f aca="false">RepoCo!E4</f>
        <v>109.474495</v>
      </c>
      <c r="F11" s="39" t="n">
        <f aca="false">RepoCo!F4</f>
        <v>132.4366788</v>
      </c>
      <c r="G11" s="39" t="n">
        <f aca="false">RepoCo!G4</f>
        <v>133.70976814</v>
      </c>
      <c r="H11" s="39" t="n">
        <f aca="false">RepoCo!H4</f>
        <v>149.32109109996</v>
      </c>
      <c r="I11" s="39" t="n">
        <f aca="false">RepoCo!I4</f>
        <v>140.835220037611</v>
      </c>
      <c r="J11" s="39" t="n">
        <f aca="false">RepoCo!J4</f>
        <v>171.40964001496</v>
      </c>
      <c r="K11" s="39" t="n">
        <f aca="false">RepoCo!K4</f>
        <v>199.862864425351</v>
      </c>
      <c r="L11" s="39" t="n">
        <f aca="false">RepoCo!L4</f>
        <v>235.136443688084</v>
      </c>
      <c r="M11" s="39" t="n">
        <f aca="false">RepoCo!M4</f>
        <v>258.374192169497</v>
      </c>
    </row>
    <row r="12" customFormat="false" ht="23.25" hidden="false" customHeight="true" outlineLevel="0" collapsed="false">
      <c r="A12" s="36" t="s">
        <v>138</v>
      </c>
      <c r="B12" s="37" t="s">
        <v>139</v>
      </c>
      <c r="C12" s="39" t="n">
        <f aca="false">RepoCo!C13</f>
        <v>25</v>
      </c>
      <c r="D12" s="39" t="n">
        <f aca="false">RepoCo!D13</f>
        <v>37.7265</v>
      </c>
      <c r="E12" s="39" t="n">
        <f aca="false">RepoCo!E13</f>
        <v>58.947805</v>
      </c>
      <c r="F12" s="39" t="n">
        <f aca="false">RepoCo!F13</f>
        <v>88.2911192</v>
      </c>
      <c r="G12" s="39" t="n">
        <f aca="false">RepoCo!G13</f>
        <v>133.70976814</v>
      </c>
      <c r="H12" s="39" t="n">
        <f aca="false">RepoCo!H13</f>
        <v>182.50355578884</v>
      </c>
      <c r="I12" s="39" t="n">
        <f aca="false">RepoCo!I13</f>
        <v>328.615513421093</v>
      </c>
      <c r="J12" s="39" t="n">
        <f aca="false">RepoCo!J13</f>
        <v>440.767645752755</v>
      </c>
      <c r="K12" s="39" t="n">
        <f aca="false">RepoCo!K13</f>
        <v>599.588593276053</v>
      </c>
      <c r="L12" s="39" t="n">
        <f aca="false">RepoCo!L13</f>
        <v>744.5987383456</v>
      </c>
      <c r="M12" s="39" t="n">
        <f aca="false">RepoCo!M13</f>
        <v>818.184941870075</v>
      </c>
    </row>
    <row r="13" customFormat="false" ht="15" hidden="false" customHeight="true" outlineLevel="0" collapsed="false">
      <c r="A13" s="36" t="s">
        <v>140</v>
      </c>
      <c r="B13" s="40"/>
      <c r="C13" s="41" t="n">
        <v>200</v>
      </c>
      <c r="D13" s="39" t="n">
        <f aca="false">C13*1.02</f>
        <v>204</v>
      </c>
      <c r="E13" s="39" t="n">
        <f aca="false">D13*1.02</f>
        <v>208.08</v>
      </c>
      <c r="F13" s="39" t="n">
        <f aca="false">E13*1.02</f>
        <v>212.2416</v>
      </c>
      <c r="G13" s="39" t="n">
        <f aca="false">F13*1.02</f>
        <v>216.486432</v>
      </c>
      <c r="H13" s="39" t="n">
        <f aca="false">G13*1.02</f>
        <v>220.81616064</v>
      </c>
      <c r="I13" s="39" t="n">
        <f aca="false">H13*1.02</f>
        <v>225.2324838528</v>
      </c>
      <c r="J13" s="39" t="n">
        <f aca="false">I13*1.02</f>
        <v>229.737133529856</v>
      </c>
      <c r="K13" s="39" t="n">
        <f aca="false">J13*1.02</f>
        <v>234.331876200453</v>
      </c>
      <c r="L13" s="39" t="n">
        <f aca="false">K13*1.02</f>
        <v>239.018513724462</v>
      </c>
      <c r="M13" s="39" t="n">
        <f aca="false">L13*1.02</f>
        <v>243.798883998951</v>
      </c>
    </row>
    <row r="14" customFormat="false" ht="15" hidden="false" customHeight="true" outlineLevel="0" collapsed="false">
      <c r="A14" s="42" t="s">
        <v>141</v>
      </c>
      <c r="B14" s="40"/>
      <c r="C14" s="39" t="n">
        <f aca="false">SUM(C10:C13)</f>
        <v>500</v>
      </c>
      <c r="D14" s="39" t="n">
        <f aca="false">SUM(D10:D13)</f>
        <v>532.755</v>
      </c>
      <c r="E14" s="39" t="n">
        <f aca="false">SUM(E10:E13)</f>
        <v>582.5473</v>
      </c>
      <c r="F14" s="39" t="n">
        <f aca="false">SUM(F10:F13)</f>
        <v>642.105073</v>
      </c>
      <c r="G14" s="39" t="n">
        <f aca="false">SUM(G10:G13)</f>
        <v>696.178678405</v>
      </c>
      <c r="H14" s="39" t="n">
        <f aca="false">SUM(H10:H13)</f>
        <v>768.097608305675</v>
      </c>
      <c r="I14" s="39" t="n">
        <f aca="false">SUM(I10:I13)</f>
        <v>913.371870100032</v>
      </c>
      <c r="J14" s="39" t="n">
        <f aca="false">SUM(J10:J13)</f>
        <v>1063.88340187793</v>
      </c>
      <c r="K14" s="39" t="n">
        <f aca="false">SUM(K10:K13)</f>
        <v>1259.08185122092</v>
      </c>
      <c r="L14" s="39" t="n">
        <f aca="false">SUM(L10:L13)</f>
        <v>1447.43169083699</v>
      </c>
      <c r="M14" s="39" t="n">
        <f aca="false">SUM(M10:M13)</f>
        <v>1552.46618304355</v>
      </c>
    </row>
    <row r="16" customFormat="false" ht="15" hidden="false" customHeight="true" outlineLevel="0" collapsed="false">
      <c r="A16" s="9" t="s">
        <v>142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23.25" hidden="false" customHeight="true" outlineLevel="0" collapsed="false">
      <c r="A17" s="43" t="s">
        <v>143</v>
      </c>
      <c r="B17" s="44" t="s">
        <v>144</v>
      </c>
      <c r="C17" s="45" t="n">
        <f aca="false">C7-C14</f>
        <v>80</v>
      </c>
      <c r="D17" s="45" t="n">
        <f aca="false">D7-D14</f>
        <v>62.8450000000001</v>
      </c>
      <c r="E17" s="45" t="n">
        <f aca="false">E7-E14</f>
        <v>33.7647000000001</v>
      </c>
      <c r="F17" s="45" t="n">
        <f aca="false">F7-F14</f>
        <v>-4.96683299999984</v>
      </c>
      <c r="G17" s="45" t="n">
        <f aca="false">G7-G14</f>
        <v>-63.0976736049998</v>
      </c>
      <c r="H17" s="45" t="n">
        <f aca="false">H7-H14</f>
        <v>-113.954983409675</v>
      </c>
      <c r="I17" s="45" t="n">
        <f aca="false">I7-I14</f>
        <v>-233.046392706112</v>
      </c>
      <c r="J17" s="45" t="n">
        <f aca="false">J7-J14</f>
        <v>-362.251414936128</v>
      </c>
      <c r="K17" s="45" t="n">
        <f aca="false">K7-K14</f>
        <v>-531.017224540285</v>
      </c>
      <c r="L17" s="45" t="n">
        <f aca="false">L7-L14</f>
        <v>-697.805771622746</v>
      </c>
      <c r="M17" s="45" t="n">
        <f aca="false">M7-M14</f>
        <v>-811.147745445021</v>
      </c>
    </row>
    <row r="19" customFormat="false" ht="15" hidden="false" customHeight="true" outlineLevel="0" collapsed="false">
      <c r="A19" s="9" t="s">
        <v>145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21.75" hidden="false" customHeight="true" outlineLevel="0" collapsed="false">
      <c r="A20" s="29" t="s">
        <v>57</v>
      </c>
      <c r="B20" s="30" t="s">
        <v>146</v>
      </c>
      <c r="C20" s="31" t="n">
        <f aca="false">ASSUMPTIONS!C7</f>
        <v>-80</v>
      </c>
      <c r="D20" s="31" t="n">
        <f aca="false">ASSUMPTIONS!D7</f>
        <v>0</v>
      </c>
      <c r="E20" s="31" t="n">
        <f aca="false">ASSUMPTIONS!E7</f>
        <v>0</v>
      </c>
      <c r="F20" s="31" t="n">
        <f aca="false">ASSUMPTIONS!F7</f>
        <v>0</v>
      </c>
      <c r="G20" s="31" t="n">
        <f aca="false">ASSUMPTIONS!G7</f>
        <v>0</v>
      </c>
      <c r="H20" s="31" t="n">
        <f aca="false">ASSUMPTIONS!H7</f>
        <v>0</v>
      </c>
      <c r="I20" s="31" t="n">
        <f aca="false">ASSUMPTIONS!I7</f>
        <v>0</v>
      </c>
      <c r="J20" s="31" t="n">
        <f aca="false">ASSUMPTIONS!J7</f>
        <v>0</v>
      </c>
      <c r="K20" s="31" t="n">
        <f aca="false">ASSUMPTIONS!K7</f>
        <v>0</v>
      </c>
      <c r="L20" s="31" t="n">
        <f aca="false">ASSUMPTIONS!L7</f>
        <v>0</v>
      </c>
      <c r="M20" s="31" t="n">
        <f aca="false">ASSUMPTIONS!M7</f>
        <v>0</v>
      </c>
    </row>
    <row r="22" customFormat="false" ht="15" hidden="false" customHeight="true" outlineLevel="0" collapsed="false">
      <c r="A22" s="46" t="s">
        <v>147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customFormat="false" ht="21.75" hidden="false" customHeight="true" outlineLevel="0" collapsed="false">
      <c r="A23" s="47" t="s">
        <v>148</v>
      </c>
      <c r="B23" s="48" t="s">
        <v>149</v>
      </c>
      <c r="C23" s="49" t="n">
        <f aca="false">(C7-C11-C12)/ASSUMPTIONS!C5</f>
        <v>1.71428571428571</v>
      </c>
      <c r="D23" s="49" t="n">
        <f aca="false">(D7-D11-D12)/ASSUMPTIONS!D5</f>
        <v>1.6370905923345</v>
      </c>
      <c r="E23" s="49" t="n">
        <f aca="false">(E7-E11-E12)/ASSUMPTIONS!E5</f>
        <v>1.5234343537415</v>
      </c>
      <c r="F23" s="49" t="n">
        <f aca="false">(F7-F11-F12)/ASSUMPTIONS!F5</f>
        <v>1.37884252317881</v>
      </c>
      <c r="G23" s="49" t="n">
        <f aca="false">(G7-G11-G12)/ASSUMPTIONS!G5</f>
        <v>1.26965787680556</v>
      </c>
      <c r="H23" s="49" t="n">
        <f aca="false">(H7-H11-H12)/ASSUMPTIONS!H5</f>
        <v>1.074393260024</v>
      </c>
      <c r="I23" s="49" t="n">
        <f aca="false">(I7-I11-I12)/ASSUMPTIONS!I5</f>
        <v>0.684658259529922</v>
      </c>
      <c r="J23" s="49" t="n">
        <f aca="false">(J7-J11-J12)/ASSUMPTIONS!J5</f>
        <v>0.283983178330424</v>
      </c>
      <c r="K23" s="49" t="n">
        <f aca="false">(K7-K11-K12)/ASSUMPTIONS!K5</f>
        <v>-0.223083846939907</v>
      </c>
      <c r="L23" s="49" t="n">
        <f aca="false">(L7-L11-L12)/ASSUMPTIONS!L5</f>
        <v>-0.723614034023385</v>
      </c>
      <c r="M23" s="49" t="n">
        <f aca="false">(M7-M11-M12)/ASSUMPTIONS!M5</f>
        <v>-1.1174689881368</v>
      </c>
    </row>
    <row r="24" customFormat="false" ht="15" hidden="false" customHeight="true" outlineLevel="0" collapsed="false">
      <c r="A24" s="47" t="s">
        <v>150</v>
      </c>
      <c r="B24" s="48" t="s">
        <v>151</v>
      </c>
      <c r="C24" s="50" t="n">
        <f aca="false">C17/ASSUMPTIONS!C5</f>
        <v>0.285714285714286</v>
      </c>
      <c r="D24" s="50" t="n">
        <f aca="false">D17/ASSUMPTIONS!D5</f>
        <v>0.218972125435541</v>
      </c>
      <c r="E24" s="50" t="n">
        <f aca="false">E17/ASSUMPTIONS!E5</f>
        <v>0.114845918367347</v>
      </c>
      <c r="F24" s="50" t="n">
        <f aca="false">F17/ASSUMPTIONS!F5</f>
        <v>-0.0164464668874167</v>
      </c>
      <c r="G24" s="50" t="n">
        <f aca="false">G17/ASSUMPTIONS!G5</f>
        <v>-0.219089144461805</v>
      </c>
      <c r="H24" s="50" t="n">
        <f aca="false">H17/ASSUMPTIONS!H5</f>
        <v>-0.379849944698916</v>
      </c>
      <c r="I24" s="50" t="n">
        <f aca="false">I17/ASSUMPTIONS!I5</f>
        <v>-0.756644132162702</v>
      </c>
      <c r="J24" s="50" t="n">
        <f aca="false">J17/ASSUMPTIONS!J5</f>
        <v>-1.15000449186073</v>
      </c>
      <c r="K24" s="50" t="n">
        <f aca="false">K17/ASSUMPTIONS!K5</f>
        <v>-1.65942882668839</v>
      </c>
      <c r="L24" s="50" t="n">
        <f aca="false">L17/ASSUMPTIONS!L5</f>
        <v>-2.19435777239857</v>
      </c>
      <c r="M24" s="50" t="n">
        <f aca="false">M17/ASSUMPTIONS!M5</f>
        <v>-2.70382581815007</v>
      </c>
    </row>
    <row r="25" customFormat="false" ht="23.25" hidden="false" customHeight="true" outlineLevel="0" collapsed="false">
      <c r="A25" s="47" t="s">
        <v>152</v>
      </c>
      <c r="B25" s="48" t="s">
        <v>153</v>
      </c>
      <c r="C25" s="50" t="n">
        <f aca="false">IF((C11+C12)=0,"-",C11/(C11+C12))</f>
        <v>0.75</v>
      </c>
      <c r="D25" s="50" t="n">
        <f aca="false">IF((D11+D12)=0,"-",D11/(D11+D12))</f>
        <v>0.7</v>
      </c>
      <c r="E25" s="50" t="n">
        <f aca="false">IF((E11+E12)=0,"-",E11/(E11+E12))</f>
        <v>0.65</v>
      </c>
      <c r="F25" s="50" t="n">
        <f aca="false">IF((F11+F12)=0,"-",F11/(F11+F12))</f>
        <v>0.6</v>
      </c>
      <c r="G25" s="50" t="n">
        <f aca="false">IF((G11+G12)=0,"-",G11/(G11+G12))</f>
        <v>0.5</v>
      </c>
      <c r="H25" s="50" t="n">
        <f aca="false">IF((H11+H12)=0,"-",H11/(H11+H12))</f>
        <v>0.45</v>
      </c>
      <c r="I25" s="50" t="n">
        <f aca="false">IF((I11+I12)=0,"-",I11/(I11+I12))</f>
        <v>0.3</v>
      </c>
      <c r="J25" s="50" t="n">
        <f aca="false">IF((J11+J12)=0,"-",J11/(J11+J12))</f>
        <v>0.28</v>
      </c>
      <c r="K25" s="50" t="n">
        <f aca="false">IF((K11+K12)=0,"-",K11/(K11+K12))</f>
        <v>0.25</v>
      </c>
      <c r="L25" s="50" t="n">
        <f aca="false">IF((L11+L12)=0,"-",L11/(L11+L12))</f>
        <v>0.24</v>
      </c>
      <c r="M25" s="50" t="n">
        <f aca="false">IF((M11+M12)=0,"-",M11/(M11+M12))</f>
        <v>0.24</v>
      </c>
    </row>
  </sheetData>
  <mergeCells count="6">
    <mergeCell ref="A1:M1"/>
    <mergeCell ref="A3:M3"/>
    <mergeCell ref="A9:M9"/>
    <mergeCell ref="A16:M16"/>
    <mergeCell ref="A19:M19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13" min="3" style="1" width="10"/>
  </cols>
  <sheetData>
    <row r="1" customFormat="false" ht="21.75" hidden="false" customHeight="true" outlineLevel="0" collapsed="false">
      <c r="A1" s="51" t="s">
        <v>154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customFormat="false" ht="15" hidden="false" customHeight="true" outlineLevel="0" collapsed="false">
      <c r="A2" s="52" t="s">
        <v>39</v>
      </c>
      <c r="B2" s="52" t="s">
        <v>155</v>
      </c>
      <c r="C2" s="52" t="s">
        <v>41</v>
      </c>
      <c r="D2" s="52" t="s">
        <v>42</v>
      </c>
      <c r="E2" s="52" t="s">
        <v>43</v>
      </c>
      <c r="F2" s="52" t="s">
        <v>44</v>
      </c>
      <c r="G2" s="52" t="s">
        <v>45</v>
      </c>
      <c r="H2" s="52" t="s">
        <v>46</v>
      </c>
      <c r="I2" s="52" t="s">
        <v>47</v>
      </c>
      <c r="J2" s="52" t="s">
        <v>48</v>
      </c>
      <c r="K2" s="52" t="s">
        <v>49</v>
      </c>
      <c r="L2" s="52" t="s">
        <v>50</v>
      </c>
      <c r="M2" s="52" t="s">
        <v>156</v>
      </c>
    </row>
    <row r="3" customFormat="false" ht="15" hidden="false" customHeight="true" outlineLevel="0" collapsed="false">
      <c r="A3" s="53" t="s">
        <v>127</v>
      </c>
    </row>
    <row r="4" customFormat="false" ht="15" hidden="false" customHeight="true" outlineLevel="0" collapsed="false">
      <c r="A4" s="54" t="s">
        <v>157</v>
      </c>
      <c r="B4" s="55" t="s">
        <v>158</v>
      </c>
      <c r="C4" s="56" t="n">
        <f aca="false">ASSUMPTIONS!C55</f>
        <v>260</v>
      </c>
      <c r="D4" s="56" t="n">
        <f aca="false">ASSUMPTIONS!D55</f>
        <v>260</v>
      </c>
      <c r="E4" s="56" t="n">
        <f aca="false">ASSUMPTIONS!E55</f>
        <v>260</v>
      </c>
      <c r="F4" s="56" t="n">
        <f aca="false">ASSUMPTIONS!F55</f>
        <v>260</v>
      </c>
      <c r="G4" s="56" t="n">
        <f aca="false">ASSUMPTIONS!G55</f>
        <v>260</v>
      </c>
      <c r="H4" s="56" t="n">
        <f aca="false">ASSUMPTIONS!H55</f>
        <v>260</v>
      </c>
      <c r="I4" s="56" t="n">
        <f aca="false">ASSUMPTIONS!I55</f>
        <v>260</v>
      </c>
      <c r="J4" s="56" t="n">
        <f aca="false">ASSUMPTIONS!J55</f>
        <v>260</v>
      </c>
      <c r="K4" s="56" t="n">
        <f aca="false">ASSUMPTIONS!K55</f>
        <v>260</v>
      </c>
      <c r="L4" s="56" t="n">
        <f aca="false">ASSUMPTIONS!L55</f>
        <v>260</v>
      </c>
      <c r="M4" s="56" t="n">
        <f aca="false">ASSUMPTIONS!M55</f>
        <v>260</v>
      </c>
    </row>
    <row r="5" customFormat="false" ht="21.75" hidden="false" customHeight="true" outlineLevel="0" collapsed="false">
      <c r="A5" s="54" t="s">
        <v>159</v>
      </c>
      <c r="B5" s="55" t="s">
        <v>160</v>
      </c>
      <c r="C5" s="57" t="n">
        <v>80</v>
      </c>
      <c r="D5" s="57" t="n">
        <v>80</v>
      </c>
      <c r="E5" s="57" t="n">
        <v>80</v>
      </c>
      <c r="F5" s="57" t="n">
        <v>80</v>
      </c>
      <c r="G5" s="57" t="n">
        <v>80</v>
      </c>
      <c r="H5" s="57" t="n">
        <v>80</v>
      </c>
      <c r="I5" s="57" t="n">
        <v>80</v>
      </c>
      <c r="J5" s="57" t="n">
        <v>80</v>
      </c>
      <c r="K5" s="57" t="n">
        <v>80</v>
      </c>
      <c r="L5" s="57" t="n">
        <v>80</v>
      </c>
      <c r="M5" s="57" t="n">
        <v>80</v>
      </c>
    </row>
    <row r="6" customFormat="false" ht="15" hidden="false" customHeight="true" outlineLevel="0" collapsed="false">
      <c r="A6" s="53" t="s">
        <v>132</v>
      </c>
      <c r="C6" s="56" t="n">
        <f aca="false">SUM(C4:C5)</f>
        <v>340</v>
      </c>
      <c r="D6" s="56" t="n">
        <f aca="false">SUM(D4:D5)</f>
        <v>340</v>
      </c>
      <c r="E6" s="56" t="n">
        <f aca="false">SUM(E4:E5)</f>
        <v>340</v>
      </c>
      <c r="F6" s="56" t="n">
        <f aca="false">SUM(F4:F5)</f>
        <v>340</v>
      </c>
      <c r="G6" s="56" t="n">
        <f aca="false">SUM(G4:G5)</f>
        <v>340</v>
      </c>
      <c r="H6" s="56" t="n">
        <f aca="false">SUM(H4:H5)</f>
        <v>340</v>
      </c>
      <c r="I6" s="56" t="n">
        <f aca="false">SUM(I4:I5)</f>
        <v>340</v>
      </c>
      <c r="J6" s="56" t="n">
        <f aca="false">SUM(J4:J5)</f>
        <v>340</v>
      </c>
      <c r="K6" s="56" t="n">
        <f aca="false">SUM(K4:K5)</f>
        <v>340</v>
      </c>
      <c r="L6" s="56" t="n">
        <f aca="false">SUM(L4:L5)</f>
        <v>340</v>
      </c>
      <c r="M6" s="56" t="n">
        <f aca="false">SUM(M4:M5)</f>
        <v>340</v>
      </c>
    </row>
    <row r="7" customFormat="false" ht="6" hidden="false" customHeight="true" outlineLevel="0" collapsed="false"/>
    <row r="8" customFormat="false" ht="15" hidden="false" customHeight="true" outlineLevel="0" collapsed="false">
      <c r="A8" s="58" t="s">
        <v>133</v>
      </c>
    </row>
    <row r="9" customFormat="false" ht="23.25" hidden="false" customHeight="true" outlineLevel="0" collapsed="false">
      <c r="A9" s="59" t="s">
        <v>161</v>
      </c>
      <c r="B9" s="55" t="s">
        <v>162</v>
      </c>
      <c r="C9" s="60" t="n">
        <f aca="false">FedCo!C4</f>
        <v>64</v>
      </c>
      <c r="D9" s="60" t="n">
        <f aca="false">FedCo!D4</f>
        <v>79</v>
      </c>
      <c r="E9" s="60" t="n">
        <f aca="false">FedCo!E4</f>
        <v>94</v>
      </c>
      <c r="F9" s="60" t="n">
        <f aca="false">FedCo!F4</f>
        <v>114</v>
      </c>
      <c r="G9" s="60" t="n">
        <f aca="false">FedCo!G4</f>
        <v>194</v>
      </c>
      <c r="H9" s="60" t="n">
        <f aca="false">FedCo!H4</f>
        <v>186</v>
      </c>
      <c r="I9" s="60" t="n">
        <f aca="false">FedCo!I4</f>
        <v>166</v>
      </c>
      <c r="J9" s="60" t="n">
        <f aca="false">FedCo!J4</f>
        <v>141</v>
      </c>
      <c r="K9" s="60" t="n">
        <f aca="false">FedCo!K4</f>
        <v>126</v>
      </c>
      <c r="L9" s="60" t="n">
        <f aca="false">FedCo!L4</f>
        <v>118</v>
      </c>
      <c r="M9" s="60" t="n">
        <f aca="false">FedCo!M4</f>
        <v>163</v>
      </c>
    </row>
    <row r="10" customFormat="false" ht="32.25" hidden="false" customHeight="true" outlineLevel="0" collapsed="false">
      <c r="A10" s="59" t="s">
        <v>163</v>
      </c>
      <c r="B10" s="55" t="s">
        <v>164</v>
      </c>
      <c r="C10" s="60" t="n">
        <f aca="false">GlobalBankCo!C4</f>
        <v>100</v>
      </c>
      <c r="D10" s="60" t="n">
        <f aca="false">GlobalBankCo!D4</f>
        <v>125.755</v>
      </c>
      <c r="E10" s="60" t="n">
        <f aca="false">GlobalBankCo!E4</f>
        <v>168.4223</v>
      </c>
      <c r="F10" s="60" t="n">
        <f aca="false">GlobalBankCo!F4</f>
        <v>220.727798</v>
      </c>
      <c r="G10" s="60" t="n">
        <f aca="false">GlobalBankCo!G4</f>
        <v>267.41953628</v>
      </c>
      <c r="H10" s="60" t="n">
        <f aca="false">GlobalBankCo!H4</f>
        <v>331.8246468888</v>
      </c>
      <c r="I10" s="60" t="n">
        <f aca="false">GlobalBankCo!I4</f>
        <v>469.450733458704</v>
      </c>
      <c r="J10" s="60" t="n">
        <f aca="false">GlobalBankCo!J4</f>
        <v>612.177285767715</v>
      </c>
      <c r="K10" s="60" t="n">
        <f aca="false">GlobalBankCo!K4</f>
        <v>799.451457701405</v>
      </c>
      <c r="L10" s="60" t="n">
        <f aca="false">GlobalBankCo!L4</f>
        <v>979.735182033684</v>
      </c>
      <c r="M10" s="60" t="n">
        <f aca="false">GlobalBankCo!M4</f>
        <v>1076.55913403957</v>
      </c>
    </row>
    <row r="11" customFormat="false" ht="23.25" hidden="false" customHeight="true" outlineLevel="0" collapsed="false">
      <c r="A11" s="59" t="s">
        <v>165</v>
      </c>
      <c r="B11" s="55" t="s">
        <v>166</v>
      </c>
      <c r="C11" s="60" t="n">
        <f aca="false">AmeriCo!C10</f>
        <v>200</v>
      </c>
      <c r="D11" s="60" t="n">
        <f aca="false">AmeriCo!D10</f>
        <v>203</v>
      </c>
      <c r="E11" s="60" t="n">
        <f aca="false">AmeriCo!E10</f>
        <v>206.045</v>
      </c>
      <c r="F11" s="60" t="n">
        <f aca="false">AmeriCo!F10</f>
        <v>209.135675</v>
      </c>
      <c r="G11" s="60" t="n">
        <f aca="false">AmeriCo!G10</f>
        <v>212.272710125</v>
      </c>
      <c r="H11" s="60" t="n">
        <f aca="false">AmeriCo!H10</f>
        <v>215.456800776875</v>
      </c>
      <c r="I11" s="60" t="n">
        <f aca="false">AmeriCo!I10</f>
        <v>218.688652788528</v>
      </c>
      <c r="J11" s="60" t="n">
        <f aca="false">AmeriCo!J10</f>
        <v>221.968982580356</v>
      </c>
      <c r="K11" s="60" t="n">
        <f aca="false">AmeriCo!K10</f>
        <v>225.298517319061</v>
      </c>
      <c r="L11" s="60" t="n">
        <f aca="false">AmeriCo!L10</f>
        <v>228.677995078847</v>
      </c>
      <c r="M11" s="60" t="n">
        <f aca="false">AmeriCo!M10</f>
        <v>232.10816500503</v>
      </c>
    </row>
    <row r="12" customFormat="false" ht="21.75" hidden="false" customHeight="true" outlineLevel="0" collapsed="false">
      <c r="A12" s="59" t="s">
        <v>167</v>
      </c>
      <c r="B12" s="55" t="s">
        <v>168</v>
      </c>
      <c r="C12" s="61" t="n">
        <f aca="false">ASSUMPTIONS!C52-C9-C10-C11</f>
        <v>16</v>
      </c>
      <c r="D12" s="61" t="n">
        <f aca="false">(C9+C10+C11+C12)+C19-D9-D10-D11</f>
        <v>27.445</v>
      </c>
      <c r="E12" s="61" t="n">
        <f aca="false">(D9+D10+D11+D12)+D19-E9-E10-E11</f>
        <v>21.9327000000001</v>
      </c>
      <c r="F12" s="61" t="n">
        <f aca="false">(E9+E10+E11+E12)+E19-F9-F10-F11</f>
        <v>3.94452700000005</v>
      </c>
      <c r="G12" s="61" t="n">
        <f aca="false">(F9+F10+F11+F12)+F19-G9-G10-G11</f>
        <v>-66.2682464049999</v>
      </c>
      <c r="H12" s="61" t="n">
        <f aca="false">(G9+G10+G11+G12)+G19-H9-H10-H11</f>
        <v>-63.9451276656749</v>
      </c>
      <c r="I12" s="61" t="n">
        <f aca="false">(H9+H10+H11+H12)+H19-I9-I10-I11</f>
        <v>-120.506106247232</v>
      </c>
      <c r="J12" s="61" t="n">
        <f aca="false">(I9+I10+I11+I12)+I19-J9-J10-J11</f>
        <v>-174.739535548071</v>
      </c>
      <c r="K12" s="61" t="n">
        <f aca="false">(J9+J10+J11+J12)+J19-K9-K10-K11</f>
        <v>-280.997911020466</v>
      </c>
      <c r="L12" s="61" t="n">
        <f aca="false">(K9+K10+K11+K12)+K19-L9-L10-L11</f>
        <v>-384.644843800531</v>
      </c>
      <c r="M12" s="61" t="n">
        <f aca="false">(L9+L10+L11+L12)+L19-M9-M10-M11</f>
        <v>-455.108883172602</v>
      </c>
    </row>
    <row r="13" customFormat="false" ht="15" hidden="false" customHeight="true" outlineLevel="0" collapsed="false">
      <c r="A13" s="58" t="s">
        <v>169</v>
      </c>
      <c r="C13" s="61" t="n">
        <f aca="false">SUM(C9:C12)</f>
        <v>380</v>
      </c>
      <c r="D13" s="61" t="n">
        <f aca="false">SUM(D9:D12)</f>
        <v>435.2</v>
      </c>
      <c r="E13" s="61" t="n">
        <f aca="false">SUM(E9:E12)</f>
        <v>490.4</v>
      </c>
      <c r="F13" s="61" t="n">
        <f aca="false">SUM(F9:F12)</f>
        <v>547.808</v>
      </c>
      <c r="G13" s="61" t="n">
        <f aca="false">SUM(G9:G12)</f>
        <v>607.424</v>
      </c>
      <c r="H13" s="61" t="n">
        <f aca="false">SUM(H9:H12)</f>
        <v>669.33632</v>
      </c>
      <c r="I13" s="61" t="n">
        <f aca="false">SUM(I9:I12)</f>
        <v>733.63328</v>
      </c>
      <c r="J13" s="61" t="n">
        <f aca="false">SUM(J9:J12)</f>
        <v>800.4067328</v>
      </c>
      <c r="K13" s="61" t="n">
        <f aca="false">SUM(K9:K12)</f>
        <v>869.752064</v>
      </c>
      <c r="L13" s="61" t="n">
        <f aca="false">SUM(L9:L12)</f>
        <v>941.768333312</v>
      </c>
      <c r="M13" s="61" t="n">
        <f aca="false">SUM(M9:M12)</f>
        <v>1016.558415872</v>
      </c>
    </row>
    <row r="14" customFormat="false" ht="6" hidden="false" customHeight="true" outlineLevel="0" collapsed="false"/>
    <row r="15" customFormat="false" ht="15" hidden="false" customHeight="true" outlineLevel="0" collapsed="false">
      <c r="A15" s="62" t="s">
        <v>170</v>
      </c>
    </row>
    <row r="16" customFormat="false" ht="15" hidden="false" customHeight="true" outlineLevel="0" collapsed="false">
      <c r="A16" s="63" t="s">
        <v>171</v>
      </c>
      <c r="C16" s="64" t="n">
        <f aca="false">ASSUMPTIONS!C55</f>
        <v>260</v>
      </c>
      <c r="D16" s="64" t="n">
        <f aca="false">ASSUMPTIONS!D55</f>
        <v>260</v>
      </c>
      <c r="E16" s="64" t="n">
        <f aca="false">ASSUMPTIONS!E55</f>
        <v>260</v>
      </c>
      <c r="F16" s="64" t="n">
        <f aca="false">ASSUMPTIONS!F55</f>
        <v>260</v>
      </c>
      <c r="G16" s="64" t="n">
        <f aca="false">ASSUMPTIONS!G55</f>
        <v>260</v>
      </c>
      <c r="H16" s="64" t="n">
        <f aca="false">ASSUMPTIONS!H55</f>
        <v>260</v>
      </c>
      <c r="I16" s="64" t="n">
        <f aca="false">ASSUMPTIONS!I55</f>
        <v>260</v>
      </c>
      <c r="J16" s="64" t="n">
        <f aca="false">ASSUMPTIONS!J55</f>
        <v>260</v>
      </c>
      <c r="K16" s="64" t="n">
        <f aca="false">ASSUMPTIONS!K55</f>
        <v>260</v>
      </c>
      <c r="L16" s="64" t="n">
        <f aca="false">ASSUMPTIONS!L55</f>
        <v>260</v>
      </c>
      <c r="M16" s="64" t="n">
        <f aca="false">ASSUMPTIONS!M55</f>
        <v>260</v>
      </c>
    </row>
    <row r="17" customFormat="false" ht="15" hidden="false" customHeight="true" outlineLevel="0" collapsed="false">
      <c r="A17" s="63" t="s">
        <v>172</v>
      </c>
      <c r="C17" s="65" t="n">
        <f aca="false">ASSUMPTIONS!C56</f>
        <v>300</v>
      </c>
      <c r="D17" s="65" t="n">
        <f aca="false">ASSUMPTIONS!D56</f>
        <v>300</v>
      </c>
      <c r="E17" s="65" t="n">
        <f aca="false">ASSUMPTIONS!E56</f>
        <v>300</v>
      </c>
      <c r="F17" s="65" t="n">
        <f aca="false">ASSUMPTIONS!F56</f>
        <v>300</v>
      </c>
      <c r="G17" s="65" t="n">
        <f aca="false">ASSUMPTIONS!G56</f>
        <v>300</v>
      </c>
      <c r="H17" s="65" t="n">
        <f aca="false">ASSUMPTIONS!H56</f>
        <v>300</v>
      </c>
      <c r="I17" s="65" t="n">
        <f aca="false">ASSUMPTIONS!I56</f>
        <v>300</v>
      </c>
      <c r="J17" s="65" t="n">
        <f aca="false">ASSUMPTIONS!J56</f>
        <v>300</v>
      </c>
      <c r="K17" s="65" t="n">
        <f aca="false">ASSUMPTIONS!K56</f>
        <v>300</v>
      </c>
      <c r="L17" s="65" t="n">
        <f aca="false">ASSUMPTIONS!L56</f>
        <v>300</v>
      </c>
      <c r="M17" s="65" t="n">
        <f aca="false">ASSUMPTIONS!M56</f>
        <v>300</v>
      </c>
    </row>
    <row r="18" customFormat="false" ht="15" hidden="false" customHeight="true" outlineLevel="0" collapsed="false">
      <c r="A18" s="63" t="s">
        <v>173</v>
      </c>
      <c r="B18" s="55" t="s">
        <v>174</v>
      </c>
      <c r="C18" s="65" t="n">
        <f aca="false">ASSUMPTIONS!C54*ASSUMPTIONS!C52</f>
        <v>15.2</v>
      </c>
      <c r="D18" s="65" t="n">
        <f aca="false">ASSUMPTIONS!D54*C13</f>
        <v>15.2</v>
      </c>
      <c r="E18" s="65" t="n">
        <f aca="false">ASSUMPTIONS!E54*D13</f>
        <v>17.408</v>
      </c>
      <c r="F18" s="65" t="n">
        <f aca="false">ASSUMPTIONS!F54*E13</f>
        <v>19.616</v>
      </c>
      <c r="G18" s="65" t="n">
        <f aca="false">ASSUMPTIONS!G54*F13</f>
        <v>21.91232</v>
      </c>
      <c r="H18" s="65" t="n">
        <f aca="false">ASSUMPTIONS!H54*G13</f>
        <v>24.29696</v>
      </c>
      <c r="I18" s="65" t="n">
        <f aca="false">ASSUMPTIONS!I54*H13</f>
        <v>26.7734528</v>
      </c>
      <c r="J18" s="65" t="n">
        <f aca="false">ASSUMPTIONS!J54*I13</f>
        <v>29.3453312</v>
      </c>
      <c r="K18" s="65" t="n">
        <f aca="false">ASSUMPTIONS!K54*J13</f>
        <v>32.016269312</v>
      </c>
      <c r="L18" s="65" t="n">
        <f aca="false">ASSUMPTIONS!L54*K13</f>
        <v>34.79008256</v>
      </c>
      <c r="M18" s="65" t="n">
        <f aca="false">ASSUMPTIONS!M54*L13</f>
        <v>37.67073333248</v>
      </c>
    </row>
    <row r="19" customFormat="false" ht="15" hidden="false" customHeight="true" outlineLevel="0" collapsed="false">
      <c r="A19" s="66" t="s">
        <v>175</v>
      </c>
      <c r="C19" s="67" t="n">
        <f aca="false">C17+C18-C16</f>
        <v>55.2</v>
      </c>
      <c r="D19" s="67" t="n">
        <f aca="false">D17+D18-D16</f>
        <v>55.2</v>
      </c>
      <c r="E19" s="67" t="n">
        <f aca="false">E17+E18-E16</f>
        <v>57.408</v>
      </c>
      <c r="F19" s="67" t="n">
        <f aca="false">F17+F18-F16</f>
        <v>59.616</v>
      </c>
      <c r="G19" s="67" t="n">
        <f aca="false">G17+G18-G16</f>
        <v>61.91232</v>
      </c>
      <c r="H19" s="67" t="n">
        <f aca="false">H17+H18-H16</f>
        <v>64.29696</v>
      </c>
      <c r="I19" s="67" t="n">
        <f aca="false">I17+I18-I16</f>
        <v>66.7734528</v>
      </c>
      <c r="J19" s="67" t="n">
        <f aca="false">J17+J18-J16</f>
        <v>69.3453312</v>
      </c>
      <c r="K19" s="67" t="n">
        <f aca="false">K17+K18-K16</f>
        <v>72.016269312</v>
      </c>
      <c r="L19" s="67" t="n">
        <f aca="false">L17+L18-L16</f>
        <v>74.79008256</v>
      </c>
      <c r="M19" s="67" t="n">
        <f aca="false">M17+M18-M16</f>
        <v>77.67073333248</v>
      </c>
    </row>
    <row r="20" customFormat="false" ht="6" hidden="false" customHeight="true" outlineLevel="0" collapsed="false"/>
    <row r="21" customFormat="false" ht="15" hidden="false" customHeight="true" outlineLevel="0" collapsed="false">
      <c r="A21" s="68" t="s">
        <v>147</v>
      </c>
    </row>
    <row r="22" customFormat="false" ht="15" hidden="false" customHeight="true" outlineLevel="0" collapsed="false">
      <c r="A22" s="69" t="s">
        <v>176</v>
      </c>
      <c r="C22" s="70" t="n">
        <f aca="false">IF(ASSUMPTIONS!C5=0,"-",C13/ASSUMPTIONS!C5)</f>
        <v>1.35714285714286</v>
      </c>
      <c r="D22" s="70" t="n">
        <f aca="false">IF(ASSUMPTIONS!C5=0,"-",D13/ASSUMPTIONS!C5)</f>
        <v>1.55428571428571</v>
      </c>
      <c r="E22" s="70" t="n">
        <f aca="false">IF(ASSUMPTIONS!C5=0,"-",E13/ASSUMPTIONS!C5)</f>
        <v>1.75142857142857</v>
      </c>
      <c r="F22" s="70" t="n">
        <f aca="false">IF(ASSUMPTIONS!C5=0,"-",F13/ASSUMPTIONS!C5)</f>
        <v>1.95645714285714</v>
      </c>
      <c r="G22" s="70" t="n">
        <f aca="false">IF(ASSUMPTIONS!C5=0,"-",G13/ASSUMPTIONS!C5)</f>
        <v>2.16937142857143</v>
      </c>
      <c r="H22" s="70" t="n">
        <f aca="false">IF(ASSUMPTIONS!C5=0,"-",H13/ASSUMPTIONS!C5)</f>
        <v>2.39048685714286</v>
      </c>
      <c r="I22" s="70" t="n">
        <f aca="false">IF(ASSUMPTIONS!C5=0,"-",I13/ASSUMPTIONS!C5)</f>
        <v>2.62011885714286</v>
      </c>
      <c r="J22" s="70" t="n">
        <f aca="false">IF(ASSUMPTIONS!C5=0,"-",J13/ASSUMPTIONS!C5)</f>
        <v>2.85859547428571</v>
      </c>
      <c r="K22" s="70" t="n">
        <f aca="false">IF(ASSUMPTIONS!C5=0,"-",K13/ASSUMPTIONS!C5)</f>
        <v>3.10625737142857</v>
      </c>
      <c r="L22" s="70" t="n">
        <f aca="false">IF(ASSUMPTIONS!C5=0,"-",L13/ASSUMPTIONS!C5)</f>
        <v>3.36345833325714</v>
      </c>
      <c r="M22" s="70" t="n">
        <f aca="false">IF(ASSUMPTIONS!C5=0,"-",M13/ASSUMPTIONS!C5)</f>
        <v>3.63056577097143</v>
      </c>
    </row>
    <row r="23" customFormat="false" ht="15" hidden="false" customHeight="true" outlineLevel="0" collapsed="false">
      <c r="A23" s="69" t="s">
        <v>177</v>
      </c>
      <c r="C23" s="70" t="n">
        <f aca="false">IF(C13=0,"-",(C10+C11)/C13)</f>
        <v>0.789473684210526</v>
      </c>
      <c r="D23" s="70" t="n">
        <f aca="false">IF(D13=0,"-",(D10+D11)/D13)</f>
        <v>0.755411305147059</v>
      </c>
      <c r="E23" s="70" t="n">
        <f aca="false">IF(E13=0,"-",(E10+E11)/E13)</f>
        <v>0.763595636215334</v>
      </c>
      <c r="F23" s="70" t="n">
        <f aca="false">IF(F13=0,"-",(F10+F11)/F13)</f>
        <v>0.784697326435539</v>
      </c>
      <c r="G23" s="70" t="n">
        <f aca="false">IF(G13=0,"-",(G10+G11)/G13)</f>
        <v>0.789715662214532</v>
      </c>
      <c r="H23" s="70" t="n">
        <f aca="false">IF(H13=0,"-",(H10+H11)/H13)</f>
        <v>0.81764791676877</v>
      </c>
      <c r="I23" s="70" t="n">
        <f aca="false">IF(I13=0,"-",(I10+I11)/I13)</f>
        <v>0.937988236094241</v>
      </c>
      <c r="J23" s="70" t="n">
        <f aca="false">IF(J13=0,"-",(J10+J11)/J13)</f>
        <v>1.04215298818145</v>
      </c>
      <c r="K23" s="70" t="n">
        <f aca="false">IF(K13=0,"-",(K10+K11)/K13)</f>
        <v>1.17820930519857</v>
      </c>
      <c r="L23" s="70" t="n">
        <f aca="false">IF(L13=0,"-",(L10+L11)/L13)</f>
        <v>1.2831320977451</v>
      </c>
      <c r="M23" s="70" t="n">
        <f aca="false">IF(M13=0,"-",(M10+M11)/M13)</f>
        <v>1.28735080897642</v>
      </c>
    </row>
    <row r="24" customFormat="false" ht="15" hidden="false" customHeight="true" outlineLevel="0" collapsed="false">
      <c r="A24" s="69" t="s">
        <v>178</v>
      </c>
      <c r="C24" s="70" t="n">
        <f aca="false">IF(C13=0,"-",C9/C13)</f>
        <v>0.168421052631579</v>
      </c>
      <c r="D24" s="70" t="n">
        <f aca="false">IF(D13=0,"-",D9/D13)</f>
        <v>0.181525735294118</v>
      </c>
      <c r="E24" s="70" t="n">
        <f aca="false">IF(E13=0,"-",E9/E13)</f>
        <v>0.191680261011419</v>
      </c>
      <c r="F24" s="70" t="n">
        <f aca="false">IF(F13=0,"-",F9/F13)</f>
        <v>0.208102108768036</v>
      </c>
      <c r="G24" s="70" t="n">
        <f aca="false">IF(G13=0,"-",G9/G13)</f>
        <v>0.319381519334106</v>
      </c>
      <c r="H24" s="70" t="n">
        <f aca="false">IF(H13=0,"-",H9/H13)</f>
        <v>0.277887206240355</v>
      </c>
      <c r="I24" s="70" t="n">
        <f aca="false">IF(I13=0,"-",I9/I13)</f>
        <v>0.22627108737488</v>
      </c>
      <c r="J24" s="70" t="n">
        <f aca="false">IF(J13=0,"-",J9/J13)</f>
        <v>0.176160437215153</v>
      </c>
      <c r="K24" s="70" t="n">
        <f aca="false">IF(K13=0,"-",K9/K13)</f>
        <v>0.144868871504052</v>
      </c>
      <c r="L24" s="70" t="n">
        <f aca="false">IF(L13=0,"-",L9/L13)</f>
        <v>0.125296206961025</v>
      </c>
      <c r="M24" s="70" t="n">
        <f aca="false">IF(M13=0,"-",M9/M13)</f>
        <v>0.160344941771181</v>
      </c>
    </row>
    <row r="25" customFormat="false" ht="15" hidden="false" customHeight="true" outlineLevel="0" collapsed="false">
      <c r="A25" s="69" t="s">
        <v>179</v>
      </c>
      <c r="C25" s="70" t="n">
        <f aca="false">IF(C16=0,"-",C18/C16)</f>
        <v>0.0584615384615385</v>
      </c>
      <c r="D25" s="70" t="n">
        <f aca="false">IF(D16=0,"-",D18/D16)</f>
        <v>0.0584615384615385</v>
      </c>
      <c r="E25" s="70" t="n">
        <f aca="false">IF(E16=0,"-",E18/E16)</f>
        <v>0.0669538461538462</v>
      </c>
      <c r="F25" s="70" t="n">
        <f aca="false">IF(F16=0,"-",F18/F16)</f>
        <v>0.0754461538461539</v>
      </c>
      <c r="G25" s="70" t="n">
        <f aca="false">IF(G16=0,"-",G18/G16)</f>
        <v>0.0842781538461539</v>
      </c>
      <c r="H25" s="70" t="n">
        <f aca="false">IF(H16=0,"-",H18/H16)</f>
        <v>0.0934498461538462</v>
      </c>
      <c r="I25" s="70" t="n">
        <f aca="false">IF(I16=0,"-",I18/I16)</f>
        <v>0.102974818461538</v>
      </c>
      <c r="J25" s="70" t="n">
        <f aca="false">IF(J16=0,"-",J18/J16)</f>
        <v>0.112866658461538</v>
      </c>
      <c r="K25" s="70" t="n">
        <f aca="false">IF(K16=0,"-",K18/K16)</f>
        <v>0.123139497353846</v>
      </c>
      <c r="L25" s="70" t="n">
        <f aca="false">IF(L16=0,"-",L18/L16)</f>
        <v>0.133808009846154</v>
      </c>
      <c r="M25" s="70" t="n">
        <f aca="false">IF(M16=0,"-",M18/M16)</f>
        <v>0.144887435894154</v>
      </c>
    </row>
    <row r="26" customFormat="false" ht="32.25" hidden="false" customHeight="true" outlineLevel="0" collapsed="false">
      <c r="A26" s="69" t="s">
        <v>180</v>
      </c>
      <c r="B26" s="55" t="s">
        <v>181</v>
      </c>
      <c r="C26" s="70" t="n">
        <f aca="false">IF(GlobalBankCo!C4=0,"-",ClearCo!C4/GlobalBankCo!C4)</f>
        <v>0.25</v>
      </c>
      <c r="D26" s="70" t="n">
        <f aca="false">IF(GlobalBankCo!D4=0,"-",ClearCo!D4/GlobalBankCo!D4)</f>
        <v>0.3</v>
      </c>
      <c r="E26" s="70" t="n">
        <f aca="false">IF(GlobalBankCo!E4=0,"-",ClearCo!E4/GlobalBankCo!E4)</f>
        <v>0.35</v>
      </c>
      <c r="F26" s="70" t="n">
        <f aca="false">IF(GlobalBankCo!F4=0,"-",ClearCo!F4/GlobalBankCo!F4)</f>
        <v>0.4</v>
      </c>
      <c r="G26" s="70" t="n">
        <f aca="false">IF(GlobalBankCo!G4=0,"-",ClearCo!G4/GlobalBankCo!G4)</f>
        <v>0.5</v>
      </c>
      <c r="H26" s="70" t="n">
        <f aca="false">IF(GlobalBankCo!H4=0,"-",ClearCo!H4/GlobalBankCo!H4)</f>
        <v>0.55</v>
      </c>
      <c r="I26" s="70" t="n">
        <f aca="false">IF(GlobalBankCo!I4=0,"-",ClearCo!I4/GlobalBankCo!I4)</f>
        <v>0.7</v>
      </c>
      <c r="J26" s="70" t="n">
        <f aca="false">IF(GlobalBankCo!J4=0,"-",ClearCo!J4/GlobalBankCo!J4)</f>
        <v>0.72</v>
      </c>
      <c r="K26" s="70" t="n">
        <f aca="false">IF(GlobalBankCo!K4=0,"-",ClearCo!K4/GlobalBankCo!K4)</f>
        <v>0.75</v>
      </c>
      <c r="L26" s="70" t="n">
        <f aca="false">IF(GlobalBankCo!L4=0,"-",ClearCo!L4/GlobalBankCo!L4)</f>
        <v>0.76</v>
      </c>
      <c r="M26" s="70" t="n">
        <f aca="false">IF(GlobalBankCo!M4=0,"-",ClearCo!M4/GlobalBankCo!M4)</f>
        <v>0.76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182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127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21.75" hidden="false" customHeight="true" outlineLevel="0" collapsed="false">
      <c r="A4" s="29" t="s">
        <v>183</v>
      </c>
      <c r="B4" s="30" t="s">
        <v>184</v>
      </c>
      <c r="C4" s="32" t="n">
        <v>650</v>
      </c>
      <c r="D4" s="33" t="n">
        <f aca="false">C4+ASSUMPTIONS!D15*ASSUMPTIONS!D14</f>
        <v>650.9</v>
      </c>
      <c r="E4" s="33" t="n">
        <f aca="false">D4+ASSUMPTIONS!E15*ASSUMPTIONS!E14</f>
        <v>652.4</v>
      </c>
      <c r="F4" s="33" t="n">
        <f aca="false">E4+ASSUMPTIONS!F15*ASSUMPTIONS!F14</f>
        <v>654.2</v>
      </c>
      <c r="G4" s="33" t="n">
        <f aca="false">F4+ASSUMPTIONS!G15*ASSUMPTIONS!G14</f>
        <v>656</v>
      </c>
      <c r="H4" s="33" t="n">
        <f aca="false">G4+ASSUMPTIONS!H15*ASSUMPTIONS!H14</f>
        <v>657.95</v>
      </c>
      <c r="I4" s="33" t="n">
        <f aca="false">H4+ASSUMPTIONS!I15*ASSUMPTIONS!I14</f>
        <v>660.47</v>
      </c>
      <c r="J4" s="33" t="n">
        <f aca="false">I4+ASSUMPTIONS!J15*ASSUMPTIONS!J14</f>
        <v>662.57</v>
      </c>
      <c r="K4" s="33" t="n">
        <f aca="false">J4+ASSUMPTIONS!K15*ASSUMPTIONS!K14</f>
        <v>664.67</v>
      </c>
      <c r="L4" s="33" t="n">
        <f aca="false">K4+ASSUMPTIONS!L15*ASSUMPTIONS!L14</f>
        <v>666.35</v>
      </c>
      <c r="M4" s="33" t="n">
        <f aca="false">L4+ASSUMPTIONS!M15*ASSUMPTIONS!M14</f>
        <v>667.79</v>
      </c>
    </row>
    <row r="5" customFormat="false" ht="21.75" hidden="false" customHeight="true" outlineLevel="0" collapsed="false">
      <c r="A5" s="29" t="s">
        <v>185</v>
      </c>
      <c r="B5" s="30" t="s">
        <v>186</v>
      </c>
      <c r="C5" s="32" t="n">
        <v>40</v>
      </c>
      <c r="D5" s="33" t="n">
        <f aca="false">C5+ASSUMPTIONS!D12*(1-ASSUMPTIONS!D13)*ASSUMPTIONS!D14</f>
        <v>57.955</v>
      </c>
      <c r="E5" s="33" t="n">
        <f aca="false">D5+ASSUMPTIONS!E12*(1-ASSUMPTIONS!E13)*ASSUMPTIONS!E14</f>
        <v>91.205</v>
      </c>
      <c r="F5" s="33" t="n">
        <f aca="false">E5+ASSUMPTIONS!F12*(1-ASSUMPTIONS!F13)*ASSUMPTIONS!F14</f>
        <v>131.945</v>
      </c>
      <c r="G5" s="33" t="n">
        <f aca="false">F5+ASSUMPTIONS!G12*(1-ASSUMPTIONS!G13)*ASSUMPTIONS!G14</f>
        <v>168.401</v>
      </c>
      <c r="H5" s="33" t="n">
        <f aca="false">G5+ASSUMPTIONS!H12*(1-ASSUMPTIONS!H13)*ASSUMPTIONS!H14</f>
        <v>212.991</v>
      </c>
      <c r="I5" s="33" t="n">
        <f aca="false">H5+ASSUMPTIONS!I12*(1-ASSUMPTIONS!I13)*ASSUMPTIONS!I14</f>
        <v>287.835</v>
      </c>
      <c r="J5" s="33" t="n">
        <f aca="false">I5+ASSUMPTIONS!J12*(1-ASSUMPTIONS!J13)*ASSUMPTIONS!J14</f>
        <v>324.585</v>
      </c>
      <c r="K5" s="33" t="n">
        <f aca="false">J5+ASSUMPTIONS!K12*(1-ASSUMPTIONS!K13)*ASSUMPTIONS!K14</f>
        <v>398.835</v>
      </c>
      <c r="L5" s="33" t="n">
        <f aca="false">K5+ASSUMPTIONS!L12*(1-ASSUMPTIONS!L13)*ASSUMPTIONS!L14</f>
        <v>481.995</v>
      </c>
      <c r="M5" s="33" t="n">
        <f aca="false">L5+ASSUMPTIONS!M12*(1-ASSUMPTIONS!M13)*ASSUMPTIONS!M14</f>
        <v>547.335</v>
      </c>
    </row>
    <row r="6" customFormat="false" ht="23.25" hidden="false" customHeight="true" outlineLevel="0" collapsed="false">
      <c r="A6" s="29" t="s">
        <v>187</v>
      </c>
      <c r="B6" s="30" t="s">
        <v>188</v>
      </c>
      <c r="C6" s="32" t="n">
        <v>800</v>
      </c>
      <c r="D6" s="33" t="n">
        <f aca="false">C6*1.04</f>
        <v>832</v>
      </c>
      <c r="E6" s="33" t="n">
        <f aca="false">D6*1.04</f>
        <v>865.28</v>
      </c>
      <c r="F6" s="33" t="n">
        <f aca="false">E6*1.04</f>
        <v>899.8912</v>
      </c>
      <c r="G6" s="33" t="n">
        <f aca="false">F6*1.04</f>
        <v>935.886848</v>
      </c>
      <c r="H6" s="33" t="n">
        <f aca="false">G6*1.04</f>
        <v>973.32232192</v>
      </c>
      <c r="I6" s="33" t="n">
        <f aca="false">H6*1.04</f>
        <v>1012.2552147968</v>
      </c>
      <c r="J6" s="33" t="n">
        <f aca="false">I6*1.04</f>
        <v>1052.74542338867</v>
      </c>
      <c r="K6" s="33" t="n">
        <f aca="false">J6*1.04</f>
        <v>1094.85524032422</v>
      </c>
      <c r="L6" s="33" t="n">
        <f aca="false">K6*1.04</f>
        <v>1138.64944993719</v>
      </c>
      <c r="M6" s="33" t="n">
        <f aca="false">L6*1.04</f>
        <v>1184.19542793468</v>
      </c>
    </row>
    <row r="7" customFormat="false" ht="21.75" hidden="false" customHeight="true" outlineLevel="0" collapsed="false">
      <c r="A7" s="29" t="s">
        <v>189</v>
      </c>
      <c r="B7" s="30" t="s">
        <v>190</v>
      </c>
      <c r="C7" s="32" t="n">
        <v>50</v>
      </c>
      <c r="D7" s="33" t="n">
        <f aca="false">C7+ASSUMPTIONS!D19</f>
        <v>50</v>
      </c>
      <c r="E7" s="33" t="n">
        <f aca="false">D7+ASSUMPTIONS!E19</f>
        <v>50</v>
      </c>
      <c r="F7" s="33" t="n">
        <f aca="false">E7+ASSUMPTIONS!F19</f>
        <v>50</v>
      </c>
      <c r="G7" s="33" t="n">
        <f aca="false">F7+ASSUMPTIONS!G19</f>
        <v>50</v>
      </c>
      <c r="H7" s="33" t="n">
        <f aca="false">G7+ASSUMPTIONS!H19</f>
        <v>50</v>
      </c>
      <c r="I7" s="33" t="n">
        <f aca="false">H7+ASSUMPTIONS!I19</f>
        <v>50</v>
      </c>
      <c r="J7" s="33" t="n">
        <f aca="false">I7+ASSUMPTIONS!J19</f>
        <v>50</v>
      </c>
      <c r="K7" s="33" t="n">
        <f aca="false">J7+ASSUMPTIONS!K19</f>
        <v>50</v>
      </c>
      <c r="L7" s="33" t="n">
        <f aca="false">K7+ASSUMPTIONS!L19</f>
        <v>50</v>
      </c>
      <c r="M7" s="33" t="n">
        <f aca="false">L7+ASSUMPTIONS!M19</f>
        <v>50</v>
      </c>
    </row>
    <row r="8" customFormat="false" ht="15" hidden="false" customHeight="true" outlineLevel="0" collapsed="false">
      <c r="A8" s="35" t="s">
        <v>132</v>
      </c>
      <c r="B8" s="34"/>
      <c r="C8" s="33" t="n">
        <f aca="false">SUM(C4:C7)</f>
        <v>1540</v>
      </c>
      <c r="D8" s="33" t="n">
        <f aca="false">SUM(D4:D7)</f>
        <v>1590.855</v>
      </c>
      <c r="E8" s="33" t="n">
        <f aca="false">SUM(E4:E7)</f>
        <v>1658.885</v>
      </c>
      <c r="F8" s="33" t="n">
        <f aca="false">SUM(F4:F7)</f>
        <v>1736.0362</v>
      </c>
      <c r="G8" s="33" t="n">
        <f aca="false">SUM(G4:G7)</f>
        <v>1810.287848</v>
      </c>
      <c r="H8" s="33" t="n">
        <f aca="false">SUM(H4:H7)</f>
        <v>1894.26332192</v>
      </c>
      <c r="I8" s="33" t="n">
        <f aca="false">SUM(I4:I7)</f>
        <v>2010.5602147968</v>
      </c>
      <c r="J8" s="33" t="n">
        <f aca="false">SUM(J4:J7)</f>
        <v>2089.90042338867</v>
      </c>
      <c r="K8" s="33" t="n">
        <f aca="false">SUM(K4:K7)</f>
        <v>2208.36024032422</v>
      </c>
      <c r="L8" s="33" t="n">
        <f aca="false">SUM(L4:L7)</f>
        <v>2336.99444993719</v>
      </c>
      <c r="M8" s="33" t="n">
        <f aca="false">SUM(M4:M7)</f>
        <v>2449.32042793468</v>
      </c>
    </row>
    <row r="10" customFormat="false" ht="15" hidden="false" customHeight="true" outlineLevel="0" collapsed="false">
      <c r="A10" s="9" t="s">
        <v>133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15" hidden="false" customHeight="true" outlineLevel="0" collapsed="false">
      <c r="A11" s="36" t="s">
        <v>191</v>
      </c>
      <c r="B11" s="40"/>
      <c r="C11" s="41" t="n">
        <v>400</v>
      </c>
      <c r="D11" s="39" t="n">
        <f aca="false">C11*1.03</f>
        <v>412</v>
      </c>
      <c r="E11" s="39" t="n">
        <f aca="false">D11*1.03</f>
        <v>424.36</v>
      </c>
      <c r="F11" s="39" t="n">
        <f aca="false">E11*1.03</f>
        <v>437.0908</v>
      </c>
      <c r="G11" s="39" t="n">
        <f aca="false">F11*1.03</f>
        <v>450.203524</v>
      </c>
      <c r="H11" s="39" t="n">
        <f aca="false">G11*1.03</f>
        <v>463.70962972</v>
      </c>
      <c r="I11" s="39" t="n">
        <f aca="false">H11*1.03</f>
        <v>477.6209186116</v>
      </c>
      <c r="J11" s="39" t="n">
        <f aca="false">I11*1.03</f>
        <v>491.949546169948</v>
      </c>
      <c r="K11" s="39" t="n">
        <f aca="false">J11*1.03</f>
        <v>506.708032555047</v>
      </c>
      <c r="L11" s="39" t="n">
        <f aca="false">K11*1.03</f>
        <v>521.909273531698</v>
      </c>
      <c r="M11" s="39" t="n">
        <f aca="false">L11*1.03</f>
        <v>537.566551737649</v>
      </c>
    </row>
    <row r="12" customFormat="false" ht="21.75" hidden="false" customHeight="true" outlineLevel="0" collapsed="false">
      <c r="A12" s="36" t="s">
        <v>192</v>
      </c>
      <c r="B12" s="37" t="s">
        <v>193</v>
      </c>
      <c r="C12" s="41" t="n">
        <v>200</v>
      </c>
      <c r="D12" s="39" t="n">
        <f aca="false">C12*0.98</f>
        <v>196</v>
      </c>
      <c r="E12" s="39" t="n">
        <f aca="false">D12*0.98</f>
        <v>192.08</v>
      </c>
      <c r="F12" s="39" t="n">
        <f aca="false">E12*0.98</f>
        <v>188.2384</v>
      </c>
      <c r="G12" s="39" t="n">
        <f aca="false">F12*0.98</f>
        <v>184.473632</v>
      </c>
      <c r="H12" s="39" t="n">
        <f aca="false">G12*0.98</f>
        <v>180.78415936</v>
      </c>
      <c r="I12" s="39" t="n">
        <f aca="false">H12*0.98</f>
        <v>177.1684761728</v>
      </c>
      <c r="J12" s="39" t="n">
        <f aca="false">I12*0.98</f>
        <v>173.625106649344</v>
      </c>
      <c r="K12" s="39" t="n">
        <f aca="false">J12*0.98</f>
        <v>170.152604516357</v>
      </c>
      <c r="L12" s="39" t="n">
        <f aca="false">K12*0.98</f>
        <v>166.74955242603</v>
      </c>
      <c r="M12" s="39" t="n">
        <f aca="false">L12*0.98</f>
        <v>163.414561377509</v>
      </c>
    </row>
    <row r="13" customFormat="false" ht="15" hidden="false" customHeight="true" outlineLevel="0" collapsed="false">
      <c r="A13" s="42" t="s">
        <v>141</v>
      </c>
      <c r="B13" s="40"/>
      <c r="C13" s="39" t="n">
        <f aca="false">SUM(C11:C12)</f>
        <v>600</v>
      </c>
      <c r="D13" s="39" t="n">
        <f aca="false">SUM(D11:D12)</f>
        <v>608</v>
      </c>
      <c r="E13" s="39" t="n">
        <f aca="false">SUM(E11:E12)</f>
        <v>616.44</v>
      </c>
      <c r="F13" s="39" t="n">
        <f aca="false">SUM(F11:F12)</f>
        <v>625.3292</v>
      </c>
      <c r="G13" s="39" t="n">
        <f aca="false">SUM(G11:G12)</f>
        <v>634.677156</v>
      </c>
      <c r="H13" s="39" t="n">
        <f aca="false">SUM(H11:H12)</f>
        <v>644.49378908</v>
      </c>
      <c r="I13" s="39" t="n">
        <f aca="false">SUM(I11:I12)</f>
        <v>654.7893947844</v>
      </c>
      <c r="J13" s="39" t="n">
        <f aca="false">SUM(J11:J12)</f>
        <v>665.574652819292</v>
      </c>
      <c r="K13" s="39" t="n">
        <f aca="false">SUM(K11:K12)</f>
        <v>676.860637071404</v>
      </c>
      <c r="L13" s="39" t="n">
        <f aca="false">SUM(L11:L12)</f>
        <v>688.658825957728</v>
      </c>
      <c r="M13" s="39" t="n">
        <f aca="false">SUM(M11:M12)</f>
        <v>700.981113115158</v>
      </c>
    </row>
    <row r="15" customFormat="false" ht="15" hidden="false" customHeight="true" outlineLevel="0" collapsed="false">
      <c r="A15" s="46" t="s">
        <v>147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customFormat="false" ht="23.25" hidden="false" customHeight="true" outlineLevel="0" collapsed="false">
      <c r="A16" s="47" t="s">
        <v>194</v>
      </c>
      <c r="B16" s="48" t="s">
        <v>195</v>
      </c>
      <c r="C16" s="71" t="n">
        <f aca="false">0</f>
        <v>0</v>
      </c>
      <c r="D16" s="71" t="n">
        <f aca="false">C16+ASSUMPTIONS!D12*(1-ASSUMPTIONS!D13)</f>
        <v>199.5</v>
      </c>
      <c r="E16" s="71" t="n">
        <f aca="false">D16+ASSUMPTIONS!E12*(1-ASSUMPTIONS!E13)</f>
        <v>532</v>
      </c>
      <c r="F16" s="71" t="n">
        <f aca="false">E16+ASSUMPTIONS!F12*(1-ASSUMPTIONS!F13)</f>
        <v>939.4</v>
      </c>
      <c r="G16" s="71" t="n">
        <f aca="false">F16+ASSUMPTIONS!G12*(1-ASSUMPTIONS!G13)</f>
        <v>1243.2</v>
      </c>
      <c r="H16" s="71" t="n">
        <f aca="false">G16+ASSUMPTIONS!H12*(1-ASSUMPTIONS!H13)</f>
        <v>1586.2</v>
      </c>
      <c r="I16" s="71" t="n">
        <f aca="false">H16+ASSUMPTIONS!I12*(1-ASSUMPTIONS!I13)</f>
        <v>2002</v>
      </c>
      <c r="J16" s="71" t="n">
        <f aca="false">I16+ASSUMPTIONS!J12*(1-ASSUMPTIONS!J13)</f>
        <v>2247</v>
      </c>
      <c r="K16" s="71" t="n">
        <f aca="false">J16+ASSUMPTIONS!K12*(1-ASSUMPTIONS!K13)</f>
        <v>2742</v>
      </c>
      <c r="L16" s="71" t="n">
        <f aca="false">K16+ASSUMPTIONS!L12*(1-ASSUMPTIONS!L13)</f>
        <v>3336</v>
      </c>
      <c r="M16" s="71" t="n">
        <f aca="false">L16+ASSUMPTIONS!M12*(1-ASSUMPTIONS!M13)</f>
        <v>3880.5</v>
      </c>
    </row>
    <row r="17" customFormat="false" ht="15" hidden="false" customHeight="true" outlineLevel="0" collapsed="false">
      <c r="A17" s="47" t="s">
        <v>196</v>
      </c>
      <c r="B17" s="72"/>
      <c r="C17" s="73" t="str">
        <f aca="false">IF(ASSUMPTIONS!C20=1,"YES","NO")</f>
        <v>NO</v>
      </c>
      <c r="D17" s="73" t="str">
        <f aca="false">IF(ASSUMPTIONS!D20=1,"YES","NO")</f>
        <v>NO</v>
      </c>
      <c r="E17" s="73" t="str">
        <f aca="false">IF(ASSUMPTIONS!E20=1,"YES","NO")</f>
        <v>NO</v>
      </c>
      <c r="F17" s="73" t="str">
        <f aca="false">IF(ASSUMPTIONS!F20=1,"YES","NO")</f>
        <v>NO</v>
      </c>
      <c r="G17" s="73" t="str">
        <f aca="false">IF(ASSUMPTIONS!G20=1,"YES","NO")</f>
        <v>NO</v>
      </c>
      <c r="H17" s="73" t="str">
        <f aca="false">IF(ASSUMPTIONS!H20=1,"YES","NO")</f>
        <v>NO</v>
      </c>
      <c r="I17" s="73" t="str">
        <f aca="false">IF(ASSUMPTIONS!I20=1,"YES","NO")</f>
        <v>NO</v>
      </c>
      <c r="J17" s="73" t="str">
        <f aca="false">IF(ASSUMPTIONS!J20=1,"YES","NO")</f>
        <v>NO</v>
      </c>
      <c r="K17" s="73" t="str">
        <f aca="false">IF(ASSUMPTIONS!K20=1,"YES","NO")</f>
        <v>NO</v>
      </c>
      <c r="L17" s="73" t="str">
        <f aca="false">IF(ASSUMPTIONS!L20=1,"YES","NO")</f>
        <v>NO</v>
      </c>
      <c r="M17" s="73" t="str">
        <f aca="false">IF(ASSUMPTIONS!M20=1,"YES","NO")</f>
        <v>NO</v>
      </c>
    </row>
    <row r="18" customFormat="false" ht="23.25" hidden="false" customHeight="true" outlineLevel="0" collapsed="false">
      <c r="A18" s="47" t="s">
        <v>197</v>
      </c>
      <c r="B18" s="72"/>
      <c r="C18" s="50" t="str">
        <f aca="false">IF(C16=0,"-",C5/C16)</f>
        <v>-</v>
      </c>
      <c r="D18" s="50" t="n">
        <f aca="false">IF(D16=0,"-",D5/D16)</f>
        <v>0.290501253132832</v>
      </c>
      <c r="E18" s="50" t="n">
        <f aca="false">IF(E16=0,"-",E5/E16)</f>
        <v>0.171437969924812</v>
      </c>
      <c r="F18" s="50" t="n">
        <f aca="false">IF(F16=0,"-",F5/F16)</f>
        <v>0.140456674473068</v>
      </c>
      <c r="G18" s="50" t="n">
        <f aca="false">IF(G16=0,"-",G5/G16)</f>
        <v>0.13545768983269</v>
      </c>
      <c r="H18" s="50" t="n">
        <f aca="false">IF(H16=0,"-",H5/H16)</f>
        <v>0.134277518597907</v>
      </c>
      <c r="I18" s="50" t="n">
        <f aca="false">IF(I16=0,"-",I5/I16)</f>
        <v>0.143773726273726</v>
      </c>
      <c r="J18" s="50" t="n">
        <f aca="false">IF(J16=0,"-",J5/J16)</f>
        <v>0.144452603471295</v>
      </c>
      <c r="K18" s="50" t="n">
        <f aca="false">IF(K16=0,"-",K5/K16)</f>
        <v>0.145454048140044</v>
      </c>
      <c r="L18" s="50" t="n">
        <f aca="false">IF(L16=0,"-",L5/L16)</f>
        <v>0.144482913669065</v>
      </c>
      <c r="M18" s="50" t="n">
        <f aca="false">IF(M16=0,"-",M5/M16)</f>
        <v>0.141047545419405</v>
      </c>
    </row>
  </sheetData>
  <mergeCells count="4">
    <mergeCell ref="A1:M1"/>
    <mergeCell ref="A3:M3"/>
    <mergeCell ref="A10:M10"/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198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127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21.75" hidden="false" customHeight="true" outlineLevel="0" collapsed="false">
      <c r="A4" s="29" t="s">
        <v>185</v>
      </c>
      <c r="B4" s="30" t="s">
        <v>199</v>
      </c>
      <c r="C4" s="31" t="n">
        <f aca="false">ASSUMPTIONS!C22</f>
        <v>45</v>
      </c>
      <c r="D4" s="33" t="n">
        <f aca="false">C4*(1+ASSUMPTIONS!D23)</f>
        <v>46.8</v>
      </c>
      <c r="E4" s="33" t="n">
        <f aca="false">D4*(1+ASSUMPTIONS!E23)</f>
        <v>48.672</v>
      </c>
      <c r="F4" s="33" t="n">
        <f aca="false">E4*(1+ASSUMPTIONS!F23)</f>
        <v>50.13216</v>
      </c>
      <c r="G4" s="33" t="n">
        <f aca="false">F4*(1+ASSUMPTIONS!G23)</f>
        <v>47.1242304</v>
      </c>
      <c r="H4" s="33" t="n">
        <f aca="false">G4*(1+ASSUMPTIONS!H23)</f>
        <v>50.894168832</v>
      </c>
      <c r="I4" s="33" t="n">
        <f aca="false">H4*(1+ASSUMPTIONS!I23)</f>
        <v>53.94781896192</v>
      </c>
      <c r="J4" s="33" t="n">
        <f aca="false">I4*(1+ASSUMPTIONS!J23)</f>
        <v>56.645209910016</v>
      </c>
      <c r="K4" s="33" t="n">
        <f aca="false">J4*(1+ASSUMPTIONS!K23)</f>
        <v>59.4774704055168</v>
      </c>
      <c r="L4" s="33" t="n">
        <f aca="false">K4*(1+ASSUMPTIONS!L23)</f>
        <v>60.6670198136272</v>
      </c>
      <c r="M4" s="33" t="n">
        <f aca="false">L4*(1+ASSUMPTIONS!M23)</f>
        <v>33.3668608974949</v>
      </c>
    </row>
    <row r="5" customFormat="false" ht="21.75" hidden="false" customHeight="true" outlineLevel="0" collapsed="false">
      <c r="A5" s="29" t="s">
        <v>200</v>
      </c>
      <c r="B5" s="30" t="s">
        <v>201</v>
      </c>
      <c r="C5" s="31" t="n">
        <f aca="false">ASSUMPTIONS!C24</f>
        <v>20</v>
      </c>
      <c r="D5" s="33" t="n">
        <f aca="false">C5*(1+ASSUMPTIONS!D25)</f>
        <v>20.6</v>
      </c>
      <c r="E5" s="33" t="n">
        <f aca="false">D5*(1+ASSUMPTIONS!E25)</f>
        <v>21.218</v>
      </c>
      <c r="F5" s="33" t="n">
        <f aca="false">E5*(1+ASSUMPTIONS!F25)</f>
        <v>21.64236</v>
      </c>
      <c r="G5" s="33" t="n">
        <f aca="false">F5*(1+ASSUMPTIONS!G25)</f>
        <v>20.7766656</v>
      </c>
      <c r="H5" s="33" t="n">
        <f aca="false">G5*(1+ASSUMPTIONS!H25)</f>
        <v>22.023265536</v>
      </c>
      <c r="I5" s="33" t="n">
        <f aca="false">H5*(1+ASSUMPTIONS!I25)</f>
        <v>23.1244288128</v>
      </c>
      <c r="J5" s="33" t="n">
        <f aca="false">I5*(1+ASSUMPTIONS!J25)</f>
        <v>24.049405965312</v>
      </c>
      <c r="K5" s="33" t="n">
        <f aca="false">J5*(1+ASSUMPTIONS!K25)</f>
        <v>25.0113822039245</v>
      </c>
      <c r="L5" s="33" t="n">
        <f aca="false">K5*(1+ASSUMPTIONS!L25)</f>
        <v>25.511609848003</v>
      </c>
      <c r="M5" s="33" t="n">
        <f aca="false">L5*(1+ASSUMPTIONS!M25)</f>
        <v>13.5211532194416</v>
      </c>
    </row>
    <row r="6" customFormat="false" ht="21.75" hidden="false" customHeight="true" outlineLevel="0" collapsed="false">
      <c r="A6" s="29" t="s">
        <v>202</v>
      </c>
      <c r="B6" s="30" t="s">
        <v>203</v>
      </c>
      <c r="C6" s="31" t="n">
        <f aca="false">ASSUMPTIONS!C20</f>
        <v>60</v>
      </c>
      <c r="D6" s="33" t="n">
        <f aca="false">C6*(1+ASSUMPTIONS!D21)</f>
        <v>54</v>
      </c>
      <c r="E6" s="33" t="n">
        <f aca="false">D6*(1+ASSUMPTIONS!E21)</f>
        <v>56.7</v>
      </c>
      <c r="F6" s="33" t="n">
        <f aca="false">E6*(1+ASSUMPTIONS!F21)</f>
        <v>62.37</v>
      </c>
      <c r="G6" s="33" t="n">
        <f aca="false">F6*(1+ASSUMPTIONS!G21)</f>
        <v>34.3035</v>
      </c>
      <c r="H6" s="33" t="n">
        <f aca="false">G6*(1+ASSUMPTIONS!H21)</f>
        <v>44.59455</v>
      </c>
      <c r="I6" s="33" t="n">
        <f aca="false">H6*(1+ASSUMPTIONS!I21)</f>
        <v>53.51346</v>
      </c>
      <c r="J6" s="33" t="n">
        <f aca="false">I6*(1+ASSUMPTIONS!J21)</f>
        <v>56.189133</v>
      </c>
      <c r="K6" s="33" t="n">
        <f aca="false">J6*(1+ASSUMPTIONS!K21)</f>
        <v>61.8080463</v>
      </c>
      <c r="L6" s="33" t="n">
        <f aca="false">K6*(1+ASSUMPTIONS!L21)</f>
        <v>58.717643985</v>
      </c>
      <c r="M6" s="33" t="n">
        <f aca="false">L6*(1+ASSUMPTIONS!M21)</f>
        <v>29.3588219925</v>
      </c>
    </row>
    <row r="7" customFormat="false" ht="15" hidden="false" customHeight="true" outlineLevel="0" collapsed="false">
      <c r="A7" s="29" t="s">
        <v>204</v>
      </c>
      <c r="B7" s="34"/>
      <c r="C7" s="32" t="n">
        <v>100</v>
      </c>
      <c r="D7" s="33" t="n">
        <f aca="false">C7*1.04</f>
        <v>104</v>
      </c>
      <c r="E7" s="33" t="n">
        <f aca="false">D7*1.04</f>
        <v>108.16</v>
      </c>
      <c r="F7" s="33" t="n">
        <f aca="false">E7*1.04</f>
        <v>112.4864</v>
      </c>
      <c r="G7" s="33" t="n">
        <f aca="false">F7*1.04</f>
        <v>116.985856</v>
      </c>
      <c r="H7" s="33" t="n">
        <f aca="false">G7*1.04</f>
        <v>121.66529024</v>
      </c>
      <c r="I7" s="33" t="n">
        <f aca="false">H7*1.04</f>
        <v>126.5319018496</v>
      </c>
      <c r="J7" s="33" t="n">
        <f aca="false">I7*1.04</f>
        <v>131.593177923584</v>
      </c>
      <c r="K7" s="33" t="n">
        <f aca="false">J7*1.04</f>
        <v>136.856905040527</v>
      </c>
      <c r="L7" s="33" t="n">
        <f aca="false">K7*1.04</f>
        <v>142.331181242149</v>
      </c>
      <c r="M7" s="33" t="n">
        <f aca="false">L7*1.04</f>
        <v>148.024428491834</v>
      </c>
    </row>
    <row r="8" customFormat="false" ht="15" hidden="false" customHeight="true" outlineLevel="0" collapsed="false">
      <c r="A8" s="74" t="s">
        <v>205</v>
      </c>
      <c r="C8" s="75" t="n">
        <f aca="false">ASSUMPTIONS!C26</f>
        <v>25</v>
      </c>
      <c r="D8" s="76" t="n">
        <f aca="false">C8*(1+ASSUMPTIONS!D27)</f>
        <v>25</v>
      </c>
      <c r="E8" s="76" t="n">
        <f aca="false">D8*(1+ASSUMPTIONS!E27)</f>
        <v>25</v>
      </c>
      <c r="F8" s="76" t="n">
        <f aca="false">E8*(1+ASSUMPTIONS!F27)</f>
        <v>25</v>
      </c>
      <c r="G8" s="76" t="n">
        <f aca="false">F8*(1+ASSUMPTIONS!G27)</f>
        <v>25</v>
      </c>
      <c r="H8" s="76" t="n">
        <f aca="false">G8*(1+ASSUMPTIONS!H27)</f>
        <v>25</v>
      </c>
      <c r="I8" s="76" t="n">
        <f aca="false">H8*(1+ASSUMPTIONS!I27)</f>
        <v>25</v>
      </c>
      <c r="J8" s="76" t="n">
        <f aca="false">I8*(1+ASSUMPTIONS!J27)</f>
        <v>25</v>
      </c>
      <c r="K8" s="76" t="n">
        <f aca="false">J8*(1+ASSUMPTIONS!K27)</f>
        <v>25</v>
      </c>
      <c r="L8" s="76" t="n">
        <f aca="false">K8*(1+ASSUMPTIONS!L27)</f>
        <v>25</v>
      </c>
      <c r="M8" s="77" t="n">
        <f aca="false">L8*(1-ASSUMPTIONS!M28)</f>
        <v>10</v>
      </c>
    </row>
    <row r="9" customFormat="false" ht="15" hidden="false" customHeight="true" outlineLevel="0" collapsed="false">
      <c r="A9" s="74" t="s">
        <v>206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0</v>
      </c>
      <c r="H9" s="76" t="n">
        <v>0</v>
      </c>
      <c r="I9" s="76" t="n">
        <v>0</v>
      </c>
      <c r="J9" s="76" t="n">
        <v>0</v>
      </c>
      <c r="K9" s="76" t="n">
        <v>0</v>
      </c>
      <c r="L9" s="76" t="n">
        <v>0</v>
      </c>
      <c r="M9" s="77" t="n">
        <f aca="false">L8*ASSUMPTIONS!M28*ASSUMPTIONS!M29</f>
        <v>12</v>
      </c>
    </row>
    <row r="10" customFormat="false" ht="15" hidden="false" customHeight="true" outlineLevel="0" collapsed="false">
      <c r="A10" s="78" t="s">
        <v>132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</row>
    <row r="11" customFormat="false" ht="15" hidden="false" customHeight="true" outlineLevel="0" collapsed="false"/>
    <row r="12" customFormat="false" ht="15" hidden="false" customHeight="true" outlineLevel="0" collapsed="false">
      <c r="A12" s="19" t="s">
        <v>133</v>
      </c>
    </row>
    <row r="13" customFormat="false" ht="15" hidden="false" customHeight="true" outlineLevel="0" collapsed="false">
      <c r="A13" s="36" t="s">
        <v>207</v>
      </c>
      <c r="B13" s="40"/>
      <c r="C13" s="41" t="n">
        <v>15</v>
      </c>
      <c r="D13" s="79" t="n">
        <f aca="false">C13*1.04</f>
        <v>15.6</v>
      </c>
      <c r="E13" s="79" t="n">
        <f aca="false">D13*1.04</f>
        <v>16.224</v>
      </c>
      <c r="F13" s="79" t="n">
        <f aca="false">E13*1.04</f>
        <v>16.87296</v>
      </c>
      <c r="G13" s="79" t="n">
        <f aca="false">F13*1.04</f>
        <v>17.5478784</v>
      </c>
      <c r="H13" s="79" t="n">
        <f aca="false">G13*1.04</f>
        <v>18.249793536</v>
      </c>
      <c r="I13" s="79" t="n">
        <f aca="false">H13*1.04</f>
        <v>18.97978527744</v>
      </c>
      <c r="J13" s="79" t="n">
        <f aca="false">I13*1.04</f>
        <v>19.7389766885376</v>
      </c>
      <c r="K13" s="79" t="n">
        <f aca="false">J13*1.04</f>
        <v>20.5285357560791</v>
      </c>
      <c r="L13" s="79" t="n">
        <f aca="false">K13*1.04</f>
        <v>21.3496771863223</v>
      </c>
      <c r="M13" s="79" t="n">
        <f aca="false">L13*1.04</f>
        <v>22.2036642737752</v>
      </c>
    </row>
    <row r="14" customFormat="false" ht="15" hidden="false" customHeight="true" outlineLevel="0" collapsed="false">
      <c r="A14" s="36" t="s">
        <v>208</v>
      </c>
      <c r="B14" s="37" t="s">
        <v>209</v>
      </c>
      <c r="C14" s="79" t="n">
        <f aca="false">JapanCo!C7</f>
        <v>50</v>
      </c>
      <c r="D14" s="79" t="n">
        <f aca="false">JapanCo!D7</f>
        <v>50</v>
      </c>
      <c r="E14" s="79" t="n">
        <f aca="false">JapanCo!E7</f>
        <v>50</v>
      </c>
      <c r="F14" s="79" t="n">
        <f aca="false">JapanCo!F7</f>
        <v>50</v>
      </c>
      <c r="G14" s="79" t="n">
        <f aca="false">JapanCo!G7</f>
        <v>50</v>
      </c>
      <c r="H14" s="79" t="n">
        <f aca="false">JapanCo!H7</f>
        <v>50</v>
      </c>
      <c r="I14" s="79" t="n">
        <f aca="false">JapanCo!I7</f>
        <v>50</v>
      </c>
      <c r="J14" s="79" t="n">
        <f aca="false">JapanCo!J7</f>
        <v>50</v>
      </c>
      <c r="K14" s="79" t="n">
        <f aca="false">JapanCo!K7</f>
        <v>50</v>
      </c>
      <c r="L14" s="79" t="n">
        <f aca="false">JapanCo!L7</f>
        <v>50</v>
      </c>
      <c r="M14" s="79" t="n">
        <f aca="false">JapanCo!M7</f>
        <v>50</v>
      </c>
    </row>
    <row r="15" customFormat="false" ht="15" hidden="false" customHeight="true" outlineLevel="0" collapsed="false">
      <c r="A15" s="36" t="s">
        <v>210</v>
      </c>
      <c r="B15" s="40"/>
      <c r="C15" s="41" t="n">
        <v>8</v>
      </c>
      <c r="D15" s="79" t="n">
        <f aca="false">C15*1.03</f>
        <v>8.24</v>
      </c>
      <c r="E15" s="79" t="n">
        <f aca="false">D15*1.03</f>
        <v>8.4872</v>
      </c>
      <c r="F15" s="79" t="n">
        <f aca="false">E15*1.03</f>
        <v>8.741816</v>
      </c>
      <c r="G15" s="79" t="n">
        <f aca="false">F15*1.03</f>
        <v>9.00407048</v>
      </c>
      <c r="H15" s="79" t="n">
        <f aca="false">G15*1.03</f>
        <v>9.2741925944</v>
      </c>
      <c r="I15" s="79" t="n">
        <f aca="false">H15*1.03</f>
        <v>9.552418372232</v>
      </c>
      <c r="J15" s="79" t="n">
        <f aca="false">I15*1.03</f>
        <v>9.83899092339896</v>
      </c>
      <c r="K15" s="79" t="n">
        <f aca="false">J15*1.03</f>
        <v>10.1341606511009</v>
      </c>
      <c r="L15" s="79" t="n">
        <f aca="false">K15*1.03</f>
        <v>10.438185470634</v>
      </c>
      <c r="M15" s="79" t="n">
        <f aca="false">L15*1.03</f>
        <v>10.751331034753</v>
      </c>
    </row>
    <row r="16" customFormat="false" ht="15" hidden="false" customHeight="true" outlineLevel="0" collapsed="false">
      <c r="A16" s="80" t="s">
        <v>141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</row>
    <row r="17" customFormat="false" ht="32.25" hidden="false" customHeight="true" outlineLevel="0" collapsed="false"/>
    <row r="18" customFormat="false" ht="15" hidden="false" customHeight="true" outlineLevel="0" collapsed="false">
      <c r="A18" s="81" t="s">
        <v>147</v>
      </c>
    </row>
    <row r="19" customFormat="false" ht="32.25" hidden="false" customHeight="true" outlineLevel="0" collapsed="false">
      <c r="A19" s="47" t="s">
        <v>211</v>
      </c>
      <c r="B19" s="48" t="s">
        <v>212</v>
      </c>
      <c r="C19" s="82" t="n">
        <f aca="false">(C4+C5+C7*0.2+C8)/(C13+C14)</f>
        <v>1.69230769230769</v>
      </c>
      <c r="D19" s="82" t="n">
        <f aca="false">(D4+D5+D7*0.2+D8)/(D13+D14)</f>
        <v>1.72560975609756</v>
      </c>
      <c r="E19" s="82" t="n">
        <f aca="false">(E4+E5+E7*0.2+E8)/(E13+E14)</f>
        <v>1.75951316743175</v>
      </c>
      <c r="F19" s="82" t="n">
        <f aca="false">(F4+F5+F7*0.2+F8)/(F13+F14)</f>
        <v>1.78355795825398</v>
      </c>
      <c r="G19" s="82" t="n">
        <f aca="false">(G4+G5+G7*0.2+G8)/(G13+G14)</f>
        <v>1.72171310120674</v>
      </c>
      <c r="H19" s="82" t="n">
        <f aca="false">(H4+H5+H7*0.2+H8)/(H13+H14)</f>
        <v>1.79122142474345</v>
      </c>
      <c r="I19" s="82" t="n">
        <f aca="false">(I4+I5+I7*0.2+I8)/(I13+I14)</f>
        <v>1.8466080697746</v>
      </c>
      <c r="J19" s="82" t="n">
        <f aca="false">(J4+J5+J7*0.2+J8)/(J13+J14)</f>
        <v>1.89296226770908</v>
      </c>
      <c r="K19" s="82" t="n">
        <f aca="false">(K4+K5+K7*0.2+K8)/(K13+K14)</f>
        <v>1.94049447008051</v>
      </c>
      <c r="L19" s="82" t="n">
        <f aca="false">(L4+L5+L7*0.2+L8)/(L13+L14)</f>
        <v>1.95718987691271</v>
      </c>
      <c r="M19" s="82" t="n">
        <f aca="false">(M4+M5+M7*0.2+M8)/(M13+M14)</f>
        <v>1.19790180574974</v>
      </c>
    </row>
    <row r="20" customFormat="false" ht="15" hidden="false" customHeight="true" outlineLevel="0" collapsed="false">
      <c r="A20" s="83" t="s">
        <v>213</v>
      </c>
      <c r="B20" s="84"/>
      <c r="C20" s="85" t="str">
        <f aca="false">IF(C19&lt;1,"BREACH -- forced liquidation","OK")</f>
        <v>OK</v>
      </c>
      <c r="D20" s="85" t="str">
        <f aca="false">IF(D19&lt;1,"BREACH -- forced liquidation","OK")</f>
        <v>OK</v>
      </c>
      <c r="E20" s="85" t="str">
        <f aca="false">IF(E19&lt;1,"BREACH -- forced liquidation","OK")</f>
        <v>OK</v>
      </c>
      <c r="F20" s="85" t="str">
        <f aca="false">IF(F19&lt;1,"BREACH -- forced liquidation","OK")</f>
        <v>OK</v>
      </c>
      <c r="G20" s="85" t="str">
        <f aca="false">IF(G19&lt;1,"BREACH -- forced liquidation","OK")</f>
        <v>OK</v>
      </c>
      <c r="H20" s="85" t="str">
        <f aca="false">IF(H19&lt;1,"BREACH -- forced liquidation","OK")</f>
        <v>OK</v>
      </c>
      <c r="I20" s="85" t="str">
        <f aca="false">IF(I19&lt;1,"BREACH -- forced liquidation","OK")</f>
        <v>OK</v>
      </c>
      <c r="J20" s="85" t="str">
        <f aca="false">IF(J19&lt;1,"BREACH -- forced liquidation","OK")</f>
        <v>OK</v>
      </c>
      <c r="K20" s="85" t="str">
        <f aca="false">IF(K19&lt;1,"BREACH -- forced liquidation","OK")</f>
        <v>OK</v>
      </c>
      <c r="L20" s="85" t="str">
        <f aca="false">IF(L19&lt;1,"BREACH -- forced liquidation","OK")</f>
        <v>OK</v>
      </c>
      <c r="M20" s="85" t="str">
        <f aca="false">IF(M19&lt;1,"BREACH -- forced liquidation","OK")</f>
        <v>OK</v>
      </c>
    </row>
    <row r="21" customFormat="false" ht="15" hidden="false" customHeight="true" outlineLevel="0" collapsed="false">
      <c r="A21" s="74" t="s">
        <v>214</v>
      </c>
      <c r="C21" s="86" t="n">
        <f aca="false">(C4+C5+C7*0.2)/(C13+C14)</f>
        <v>1.30769230769231</v>
      </c>
      <c r="D21" s="86" t="n">
        <f aca="false">(D4+D5+D7*0.2)/(D13+D14)</f>
        <v>1.34451219512195</v>
      </c>
      <c r="E21" s="86" t="n">
        <f aca="false">(E4+E5+E7*0.2)/(E13+E14)</f>
        <v>1.38200652331481</v>
      </c>
      <c r="F21" s="86" t="n">
        <f aca="false">(F4+F5+F7*0.2)/(F13+F14)</f>
        <v>1.40971477858913</v>
      </c>
      <c r="G21" s="86" t="n">
        <f aca="false">(G4+G5+G7*0.2)/(G13+G14)</f>
        <v>1.35160525189789</v>
      </c>
      <c r="H21" s="86" t="n">
        <f aca="false">(H4+H5+H7*0.2)/(H13+H14)</f>
        <v>1.42491995033953</v>
      </c>
      <c r="I21" s="86" t="n">
        <f aca="false">(I4+I5+I7*0.2)/(I13+I14)</f>
        <v>1.48418305062662</v>
      </c>
      <c r="J21" s="86" t="n">
        <f aca="false">(J4+J5+J7*0.2)/(J13+J14)</f>
        <v>1.53448267441575</v>
      </c>
      <c r="K21" s="86" t="n">
        <f aca="false">(K4+K5+K7*0.2)/(K13+K14)</f>
        <v>1.58602801572986</v>
      </c>
      <c r="L21" s="86" t="n">
        <f aca="false">(L4+L5+L7*0.2)/(L13+L14)</f>
        <v>1.60680286766647</v>
      </c>
      <c r="M21" s="86" t="n">
        <f aca="false">(M4+M5+M7*0.2)/(M13+M14)</f>
        <v>1.05940467959167</v>
      </c>
    </row>
    <row r="22" customFormat="false" ht="34.5" hidden="false" customHeight="true" outlineLevel="0" collapsed="false">
      <c r="A22" s="87" t="s">
        <v>215</v>
      </c>
      <c r="C22" s="88" t="str">
        <f aca="false">IF(C19&lt;1.2,IF(C19&lt;1,"BREACH","WARNING"),"OK")</f>
        <v>OK</v>
      </c>
      <c r="D22" s="88" t="str">
        <f aca="false">IF(D19&lt;1.2,IF(D19&lt;1,"BREACH","WARNING"),"OK")</f>
        <v>OK</v>
      </c>
      <c r="E22" s="88" t="str">
        <f aca="false">IF(E19&lt;1.2,IF(E19&lt;1,"BREACH","WARNING"),"OK")</f>
        <v>OK</v>
      </c>
      <c r="F22" s="88" t="str">
        <f aca="false">IF(F19&lt;1.2,IF(F19&lt;1,"BREACH","WARNING"),"OK")</f>
        <v>OK</v>
      </c>
      <c r="G22" s="88" t="str">
        <f aca="false">IF(G19&lt;1.2,IF(G19&lt;1,"BREACH","WARNING"),"OK")</f>
        <v>OK</v>
      </c>
      <c r="H22" s="88" t="str">
        <f aca="false">IF(H19&lt;1.2,IF(H19&lt;1,"BREACH","WARNING"),"OK")</f>
        <v>OK</v>
      </c>
      <c r="I22" s="88" t="str">
        <f aca="false">IF(I19&lt;1.2,IF(I19&lt;1,"BREACH","WARNING"),"OK")</f>
        <v>OK</v>
      </c>
      <c r="J22" s="88" t="str">
        <f aca="false">IF(J19&lt;1.2,IF(J19&lt;1,"BREACH","WARNING"),"OK")</f>
        <v>OK</v>
      </c>
      <c r="K22" s="88" t="str">
        <f aca="false">IF(K19&lt;1.2,IF(K19&lt;1,"BREACH","WARNING"),"OK")</f>
        <v>OK</v>
      </c>
      <c r="L22" s="88" t="str">
        <f aca="false">IF(L19&lt;1.2,IF(L19&lt;1,"BREACH","WARNING"),"OK")</f>
        <v>OK</v>
      </c>
      <c r="M22" s="88" t="str">
        <f aca="false">IF(M19&lt;1.2,IF(M19&lt;1,"BREACH","WARNING"),"OK")</f>
        <v>WARNING</v>
      </c>
    </row>
  </sheetData>
  <mergeCells count="4">
    <mergeCell ref="A1:M1"/>
    <mergeCell ref="A3:M3"/>
    <mergeCell ref="A10:M10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13" min="3" style="1" width="10"/>
  </cols>
  <sheetData>
    <row r="1" customFormat="false" ht="15" hidden="false" customHeight="true" outlineLevel="0" collapsed="false">
      <c r="A1" s="51" t="s">
        <v>216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customFormat="false" ht="15" hidden="false" customHeight="true" outlineLevel="0" collapsed="false">
      <c r="A2" s="52" t="s">
        <v>39</v>
      </c>
      <c r="B2" s="52" t="s">
        <v>155</v>
      </c>
      <c r="C2" s="52" t="s">
        <v>41</v>
      </c>
      <c r="D2" s="52" t="s">
        <v>42</v>
      </c>
      <c r="E2" s="52" t="s">
        <v>43</v>
      </c>
      <c r="F2" s="52" t="s">
        <v>44</v>
      </c>
      <c r="G2" s="52" t="s">
        <v>45</v>
      </c>
      <c r="H2" s="52" t="s">
        <v>46</v>
      </c>
      <c r="I2" s="52" t="s">
        <v>47</v>
      </c>
      <c r="J2" s="52" t="s">
        <v>48</v>
      </c>
      <c r="K2" s="52" t="s">
        <v>49</v>
      </c>
      <c r="L2" s="52" t="s">
        <v>50</v>
      </c>
      <c r="M2" s="52" t="s">
        <v>156</v>
      </c>
    </row>
    <row r="3" customFormat="false" ht="15" hidden="false" customHeight="true" outlineLevel="0" collapsed="false">
      <c r="A3" s="53" t="s">
        <v>127</v>
      </c>
    </row>
    <row r="4" customFormat="false" ht="23.25" hidden="false" customHeight="true" outlineLevel="0" collapsed="false">
      <c r="A4" s="54" t="s">
        <v>217</v>
      </c>
      <c r="B4" s="89" t="s">
        <v>218</v>
      </c>
      <c r="C4" s="56" t="n">
        <f aca="false">RepoCo!C13</f>
        <v>25</v>
      </c>
      <c r="D4" s="56" t="n">
        <f aca="false">RepoCo!D13</f>
        <v>37.7265</v>
      </c>
      <c r="E4" s="56" t="n">
        <f aca="false">RepoCo!E13</f>
        <v>58.947805</v>
      </c>
      <c r="F4" s="56" t="n">
        <f aca="false">RepoCo!F13</f>
        <v>88.2911192</v>
      </c>
      <c r="G4" s="56" t="n">
        <f aca="false">RepoCo!G13</f>
        <v>133.70976814</v>
      </c>
      <c r="H4" s="56" t="n">
        <f aca="false">RepoCo!H13</f>
        <v>182.50355578884</v>
      </c>
      <c r="I4" s="56" t="n">
        <f aca="false">RepoCo!I13</f>
        <v>328.615513421093</v>
      </c>
      <c r="J4" s="56" t="n">
        <f aca="false">RepoCo!J13</f>
        <v>440.767645752755</v>
      </c>
      <c r="K4" s="56" t="n">
        <f aca="false">RepoCo!K13</f>
        <v>599.588593276053</v>
      </c>
      <c r="L4" s="56" t="n">
        <f aca="false">RepoCo!L13</f>
        <v>744.5987383456</v>
      </c>
      <c r="M4" s="56" t="n">
        <f aca="false">RepoCo!M13</f>
        <v>818.184941870075</v>
      </c>
    </row>
    <row r="5" customFormat="false" ht="15" hidden="false" customHeight="true" outlineLevel="0" collapsed="false">
      <c r="A5" s="53" t="s">
        <v>132</v>
      </c>
      <c r="C5" s="56" t="n">
        <f aca="false">SUM(C4:C4)</f>
        <v>25</v>
      </c>
      <c r="D5" s="56" t="n">
        <f aca="false">SUM(D4:D4)</f>
        <v>37.7265</v>
      </c>
      <c r="E5" s="56" t="n">
        <f aca="false">SUM(E4:E4)</f>
        <v>58.947805</v>
      </c>
      <c r="F5" s="56" t="n">
        <f aca="false">SUM(F4:F4)</f>
        <v>88.2911192</v>
      </c>
      <c r="G5" s="56" t="n">
        <f aca="false">SUM(G4:G4)</f>
        <v>133.70976814</v>
      </c>
      <c r="H5" s="56" t="n">
        <f aca="false">SUM(H4:H4)</f>
        <v>182.50355578884</v>
      </c>
      <c r="I5" s="56" t="n">
        <f aca="false">SUM(I4:I4)</f>
        <v>328.615513421093</v>
      </c>
      <c r="J5" s="56" t="n">
        <f aca="false">SUM(J4:J4)</f>
        <v>440.767645752755</v>
      </c>
      <c r="K5" s="56" t="n">
        <f aca="false">SUM(K4:K4)</f>
        <v>599.588593276053</v>
      </c>
      <c r="L5" s="56" t="n">
        <f aca="false">SUM(L4:L4)</f>
        <v>744.5987383456</v>
      </c>
      <c r="M5" s="56" t="n">
        <f aca="false">SUM(M4:M4)</f>
        <v>818.184941870075</v>
      </c>
    </row>
    <row r="6" customFormat="false" ht="6" hidden="false" customHeight="true" outlineLevel="0" collapsed="false"/>
    <row r="7" customFormat="false" ht="15" hidden="false" customHeight="true" outlineLevel="0" collapsed="false">
      <c r="A7" s="58" t="s">
        <v>133</v>
      </c>
    </row>
    <row r="8" customFormat="false" ht="23.25" hidden="false" customHeight="true" outlineLevel="0" collapsed="false">
      <c r="A8" s="59" t="s">
        <v>219</v>
      </c>
      <c r="B8" s="89" t="s">
        <v>220</v>
      </c>
      <c r="C8" s="60" t="n">
        <f aca="false">C4</f>
        <v>25</v>
      </c>
      <c r="D8" s="60" t="n">
        <f aca="false">D4</f>
        <v>37.7265</v>
      </c>
      <c r="E8" s="60" t="n">
        <f aca="false">E4</f>
        <v>58.947805</v>
      </c>
      <c r="F8" s="60" t="n">
        <f aca="false">F4</f>
        <v>88.2911192</v>
      </c>
      <c r="G8" s="60" t="n">
        <f aca="false">G4</f>
        <v>133.70976814</v>
      </c>
      <c r="H8" s="60" t="n">
        <f aca="false">H4</f>
        <v>182.50355578884</v>
      </c>
      <c r="I8" s="60" t="n">
        <f aca="false">I4</f>
        <v>328.615513421093</v>
      </c>
      <c r="J8" s="60" t="n">
        <f aca="false">J4</f>
        <v>440.767645752755</v>
      </c>
      <c r="K8" s="60" t="n">
        <f aca="false">K4</f>
        <v>599.588593276053</v>
      </c>
      <c r="L8" s="60" t="n">
        <f aca="false">L4</f>
        <v>744.5987383456</v>
      </c>
      <c r="M8" s="60" t="n">
        <f aca="false">M4</f>
        <v>818.184941870075</v>
      </c>
    </row>
    <row r="9" customFormat="false" ht="15" hidden="false" customHeight="true" outlineLevel="0" collapsed="false">
      <c r="A9" s="58" t="s">
        <v>141</v>
      </c>
      <c r="C9" s="61" t="n">
        <f aca="false">SUM(C8:C8)</f>
        <v>25</v>
      </c>
      <c r="D9" s="61" t="n">
        <f aca="false">SUM(D8:D8)</f>
        <v>37.7265</v>
      </c>
      <c r="E9" s="61" t="n">
        <f aca="false">SUM(E8:E8)</f>
        <v>58.947805</v>
      </c>
      <c r="F9" s="61" t="n">
        <f aca="false">SUM(F8:F8)</f>
        <v>88.2911192</v>
      </c>
      <c r="G9" s="61" t="n">
        <f aca="false">SUM(G8:G8)</f>
        <v>133.70976814</v>
      </c>
      <c r="H9" s="61" t="n">
        <f aca="false">SUM(H8:H8)</f>
        <v>182.50355578884</v>
      </c>
      <c r="I9" s="61" t="n">
        <f aca="false">SUM(I8:I8)</f>
        <v>328.615513421093</v>
      </c>
      <c r="J9" s="61" t="n">
        <f aca="false">SUM(J8:J8)</f>
        <v>440.767645752755</v>
      </c>
      <c r="K9" s="61" t="n">
        <f aca="false">SUM(K8:K8)</f>
        <v>599.588593276053</v>
      </c>
      <c r="L9" s="61" t="n">
        <f aca="false">SUM(L8:L8)</f>
        <v>744.5987383456</v>
      </c>
      <c r="M9" s="61" t="n">
        <f aca="false">SUM(M8:M8)</f>
        <v>818.184941870075</v>
      </c>
    </row>
    <row r="10" customFormat="false" ht="6" hidden="false" customHeight="true" outlineLevel="0" collapsed="false"/>
    <row r="11" customFormat="false" ht="23.25" hidden="false" customHeight="true" outlineLevel="0" collapsed="false">
      <c r="A11" s="90" t="s">
        <v>221</v>
      </c>
      <c r="C11" s="91" t="n">
        <f aca="false">C5-C9</f>
        <v>0</v>
      </c>
      <c r="D11" s="91" t="n">
        <f aca="false">D5-D9</f>
        <v>0</v>
      </c>
      <c r="E11" s="91" t="n">
        <f aca="false">E5-E9</f>
        <v>0</v>
      </c>
      <c r="F11" s="91" t="n">
        <f aca="false">F5-F9</f>
        <v>0</v>
      </c>
      <c r="G11" s="91" t="n">
        <f aca="false">G5-G9</f>
        <v>0</v>
      </c>
      <c r="H11" s="91" t="n">
        <f aca="false">H5-H9</f>
        <v>0</v>
      </c>
      <c r="I11" s="91" t="n">
        <f aca="false">I5-I9</f>
        <v>0</v>
      </c>
      <c r="J11" s="91" t="n">
        <f aca="false">J5-J9</f>
        <v>0</v>
      </c>
      <c r="K11" s="91" t="n">
        <f aca="false">K5-K9</f>
        <v>0</v>
      </c>
      <c r="L11" s="91" t="n">
        <f aca="false">L5-L9</f>
        <v>0</v>
      </c>
      <c r="M11" s="91" t="n">
        <f aca="false">M5-M9</f>
        <v>0</v>
      </c>
    </row>
    <row r="12" customFormat="false" ht="6" hidden="false" customHeight="true" outlineLevel="0" collapsed="false"/>
    <row r="13" customFormat="false" ht="15" hidden="false" customHeight="true" outlineLevel="0" collapsed="false">
      <c r="A13" s="68" t="s">
        <v>222</v>
      </c>
    </row>
    <row r="14" customFormat="false" ht="23.25" hidden="false" customHeight="true" outlineLevel="0" collapsed="false">
      <c r="A14" s="69" t="s">
        <v>223</v>
      </c>
      <c r="C14" s="70" t="n">
        <f aca="false">ASSUMPTIONS!C39</f>
        <v>0.25</v>
      </c>
      <c r="D14" s="70" t="n">
        <f aca="false">ASSUMPTIONS!D39</f>
        <v>0.3</v>
      </c>
      <c r="E14" s="70" t="n">
        <f aca="false">ASSUMPTIONS!E39</f>
        <v>0.35</v>
      </c>
      <c r="F14" s="70" t="n">
        <f aca="false">ASSUMPTIONS!F39</f>
        <v>0.4</v>
      </c>
      <c r="G14" s="70" t="n">
        <f aca="false">ASSUMPTIONS!G39</f>
        <v>0.5</v>
      </c>
      <c r="H14" s="70" t="n">
        <f aca="false">ASSUMPTIONS!H39</f>
        <v>0.55</v>
      </c>
      <c r="I14" s="70" t="n">
        <f aca="false">ASSUMPTIONS!I39</f>
        <v>0.7</v>
      </c>
      <c r="J14" s="70" t="n">
        <f aca="false">ASSUMPTIONS!J39</f>
        <v>0.72</v>
      </c>
      <c r="K14" s="70" t="n">
        <f aca="false">ASSUMPTIONS!K39</f>
        <v>0.75</v>
      </c>
      <c r="L14" s="70" t="n">
        <f aca="false">ASSUMPTIONS!L39</f>
        <v>0.76</v>
      </c>
      <c r="M14" s="70" t="n">
        <f aca="false">ASSUMPTIONS!M39</f>
        <v>0.76</v>
      </c>
    </row>
    <row r="15" customFormat="false" ht="23.25" hidden="false" customHeight="true" outlineLevel="0" collapsed="false">
      <c r="A15" s="69" t="s">
        <v>224</v>
      </c>
      <c r="C15" s="70" t="n">
        <f aca="false">IF(GlobalBankCo!C4=0,"-",C4/GlobalBankCo!C4)</f>
        <v>0.25</v>
      </c>
      <c r="D15" s="70" t="n">
        <f aca="false">IF(GlobalBankCo!D4=0,"-",D4/GlobalBankCo!D4)</f>
        <v>0.3</v>
      </c>
      <c r="E15" s="70" t="n">
        <f aca="false">IF(GlobalBankCo!E4=0,"-",E4/GlobalBankCo!E4)</f>
        <v>0.35</v>
      </c>
      <c r="F15" s="70" t="n">
        <f aca="false">IF(GlobalBankCo!F4=0,"-",F4/GlobalBankCo!F4)</f>
        <v>0.4</v>
      </c>
      <c r="G15" s="70" t="n">
        <f aca="false">IF(GlobalBankCo!G4=0,"-",G4/GlobalBankCo!G4)</f>
        <v>0.5</v>
      </c>
      <c r="H15" s="70" t="n">
        <f aca="false">IF(GlobalBankCo!H4=0,"-",H4/GlobalBankCo!H4)</f>
        <v>0.55</v>
      </c>
      <c r="I15" s="70" t="n">
        <f aca="false">IF(GlobalBankCo!I4=0,"-",I4/GlobalBankCo!I4)</f>
        <v>0.7</v>
      </c>
      <c r="J15" s="70" t="n">
        <f aca="false">IF(GlobalBankCo!J4=0,"-",J4/GlobalBankCo!J4)</f>
        <v>0.72</v>
      </c>
      <c r="K15" s="70" t="n">
        <f aca="false">IF(GlobalBankCo!K4=0,"-",K4/GlobalBankCo!K4)</f>
        <v>0.75</v>
      </c>
      <c r="L15" s="70" t="n">
        <f aca="false">IF(GlobalBankCo!L4=0,"-",L4/GlobalBankCo!L4)</f>
        <v>0.76</v>
      </c>
      <c r="M15" s="70" t="n">
        <f aca="false">IF(GlobalBankCo!M4=0,"-",M4/GlobalBankCo!M4)</f>
        <v>0.76</v>
      </c>
    </row>
    <row r="16" customFormat="false" ht="48" hidden="false" customHeight="true" outlineLevel="0" collapsed="false">
      <c r="A16" s="92" t="s">
        <v>225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226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127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34.5" hidden="false" customHeight="true" outlineLevel="0" collapsed="false">
      <c r="A4" s="29" t="s">
        <v>227</v>
      </c>
      <c r="B4" s="30" t="s">
        <v>228</v>
      </c>
      <c r="C4" s="32" t="n">
        <v>100</v>
      </c>
      <c r="D4" s="33" t="n">
        <f aca="false">C4+(JapanCo!D5-JapanCo!C5)+(CommodityCo!D4-CommodityCo!C4)+C4*0.06</f>
        <v>125.755</v>
      </c>
      <c r="E4" s="33" t="n">
        <f aca="false">D4+(JapanCo!E5-JapanCo!D5)+(CommodityCo!E4-CommodityCo!D4)+D4*0.06</f>
        <v>168.4223</v>
      </c>
      <c r="F4" s="33" t="n">
        <f aca="false">E4+(JapanCo!F5-JapanCo!E5)+(CommodityCo!F4-CommodityCo!E4)+E4*0.06</f>
        <v>220.727798</v>
      </c>
      <c r="G4" s="33" t="n">
        <f aca="false">F4+(JapanCo!G5-JapanCo!F5)+(CommodityCo!G4-CommodityCo!F4)+F4*0.06</f>
        <v>267.41953628</v>
      </c>
      <c r="H4" s="33" t="n">
        <f aca="false">G4+(JapanCo!H5-JapanCo!G5)+(CommodityCo!H4-CommodityCo!G4)+G4*0.06</f>
        <v>331.8246468888</v>
      </c>
      <c r="I4" s="33" t="n">
        <f aca="false">H4+(JapanCo!I5-JapanCo!H5)+(CommodityCo!I4-CommodityCo!H4)+H4*0.18</f>
        <v>469.450733458704</v>
      </c>
      <c r="J4" s="33" t="n">
        <f aca="false">I4+(JapanCo!J5-JapanCo!I5)+(CommodityCo!J4-CommodityCo!I4)+I4*0.22</f>
        <v>612.177285767715</v>
      </c>
      <c r="K4" s="33" t="n">
        <f aca="false">J4+(JapanCo!K5-JapanCo!J5)+(CommodityCo!K4-CommodityCo!J4)+J4*0.18</f>
        <v>799.451457701405</v>
      </c>
      <c r="L4" s="33" t="n">
        <f aca="false">K4+(JapanCo!L5-JapanCo!K5)+(CommodityCo!L4-CommodityCo!K4)+K4*0.12</f>
        <v>979.735182033684</v>
      </c>
      <c r="M4" s="33" t="n">
        <f aca="false">L4+(JapanCo!M5-JapanCo!L5)+(CommodityCo!M4-CommodityCo!L4)+L4*0.06</f>
        <v>1076.55913403957</v>
      </c>
    </row>
    <row r="5" customFormat="false" ht="21.75" hidden="false" customHeight="true" outlineLevel="0" collapsed="false">
      <c r="A5" s="74" t="s">
        <v>229</v>
      </c>
      <c r="C5" s="76" t="n">
        <v>0</v>
      </c>
      <c r="D5" s="76" t="n">
        <v>0</v>
      </c>
      <c r="E5" s="76" t="n">
        <v>0</v>
      </c>
      <c r="F5" s="76" t="n">
        <v>0</v>
      </c>
      <c r="G5" s="76" t="n">
        <v>0</v>
      </c>
      <c r="H5" s="76" t="n">
        <v>0</v>
      </c>
      <c r="I5" s="76" t="n">
        <v>0</v>
      </c>
      <c r="J5" s="76" t="n">
        <v>0</v>
      </c>
      <c r="K5" s="76" t="n">
        <v>0</v>
      </c>
      <c r="L5" s="76" t="n">
        <v>0</v>
      </c>
      <c r="M5" s="77" t="n">
        <f aca="false">CommodityCo!M9</f>
        <v>12</v>
      </c>
    </row>
    <row r="6" customFormat="false" ht="15" hidden="false" customHeight="true" outlineLevel="0" collapsed="false">
      <c r="A6" s="29" t="s">
        <v>230</v>
      </c>
      <c r="B6" s="30" t="s">
        <v>231</v>
      </c>
      <c r="C6" s="32" t="n">
        <v>60</v>
      </c>
      <c r="D6" s="31" t="n">
        <f aca="false">C6*1.03</f>
        <v>61.8</v>
      </c>
      <c r="E6" s="31" t="n">
        <f aca="false">D6*1.03</f>
        <v>63.654</v>
      </c>
      <c r="F6" s="31" t="n">
        <f aca="false">E6*1.03</f>
        <v>65.56362</v>
      </c>
      <c r="G6" s="31" t="n">
        <f aca="false">F6*1.03</f>
        <v>67.5305286</v>
      </c>
      <c r="H6" s="31" t="n">
        <f aca="false">G6*1.03</f>
        <v>69.556444458</v>
      </c>
      <c r="I6" s="31" t="n">
        <f aca="false">H6*1.03</f>
        <v>71.64313779174</v>
      </c>
      <c r="J6" s="31" t="n">
        <f aca="false">I6*1.03</f>
        <v>73.7924319254922</v>
      </c>
      <c r="K6" s="31" t="n">
        <f aca="false">J6*1.03</f>
        <v>76.006204883257</v>
      </c>
      <c r="L6" s="31" t="n">
        <f aca="false">K6*1.03</f>
        <v>78.2863910297547</v>
      </c>
      <c r="M6" s="31" t="n">
        <f aca="false">L6*1.03</f>
        <v>80.6349827606473</v>
      </c>
    </row>
    <row r="7" customFormat="false" ht="21.75" hidden="false" customHeight="true" outlineLevel="0" collapsed="false">
      <c r="A7" s="29" t="s">
        <v>232</v>
      </c>
      <c r="B7" s="34"/>
      <c r="C7" s="31" t="n">
        <f aca="false">ASSUMPTIONS!C31</f>
        <v>25</v>
      </c>
      <c r="D7" s="31" t="n">
        <f aca="false">C7*1.02</f>
        <v>25.5</v>
      </c>
      <c r="E7" s="31" t="n">
        <f aca="false">D7*1.02</f>
        <v>26.01</v>
      </c>
      <c r="F7" s="31" t="n">
        <f aca="false">E7*1.02</f>
        <v>26.5302</v>
      </c>
      <c r="G7" s="31" t="n">
        <f aca="false">F7*1.02</f>
        <v>27.060804</v>
      </c>
      <c r="H7" s="31" t="n">
        <f aca="false">G7*1.02</f>
        <v>27.60202008</v>
      </c>
      <c r="I7" s="31" t="n">
        <f aca="false">H7*1.02</f>
        <v>28.1540604816</v>
      </c>
      <c r="J7" s="31" t="n">
        <f aca="false">I7*1.02</f>
        <v>28.717141691232</v>
      </c>
      <c r="K7" s="31" t="n">
        <f aca="false">J7*1.02</f>
        <v>29.2914845250566</v>
      </c>
      <c r="L7" s="31" t="n">
        <f aca="false">K7*1.02</f>
        <v>29.8773142155578</v>
      </c>
      <c r="M7" s="31" t="n">
        <f aca="false">L7*1.02</f>
        <v>30.4748604998689</v>
      </c>
    </row>
    <row r="8" customFormat="false" ht="15" hidden="false" customHeight="true" outlineLevel="0" collapsed="false">
      <c r="A8" s="29" t="s">
        <v>233</v>
      </c>
      <c r="B8" s="30" t="s">
        <v>234</v>
      </c>
      <c r="C8" s="32" t="n">
        <v>40</v>
      </c>
      <c r="D8" s="31" t="n">
        <f aca="false">C8*1.01</f>
        <v>40.4</v>
      </c>
      <c r="E8" s="31" t="n">
        <f aca="false">D8*1.01</f>
        <v>40.804</v>
      </c>
      <c r="F8" s="31" t="n">
        <f aca="false">E8*1.01</f>
        <v>41.21204</v>
      </c>
      <c r="G8" s="31" t="n">
        <f aca="false">F8*1.01</f>
        <v>41.6241604</v>
      </c>
      <c r="H8" s="31" t="n">
        <f aca="false">G8*1.01</f>
        <v>42.040402004</v>
      </c>
      <c r="I8" s="31" t="n">
        <f aca="false">H8*1.01</f>
        <v>42.46080602404</v>
      </c>
      <c r="J8" s="31" t="n">
        <f aca="false">I8*1.01</f>
        <v>42.8854140842804</v>
      </c>
      <c r="K8" s="31" t="n">
        <f aca="false">J8*1.01</f>
        <v>43.3142682251232</v>
      </c>
      <c r="L8" s="31" t="n">
        <f aca="false">K8*1.01</f>
        <v>43.7474109073744</v>
      </c>
      <c r="M8" s="31" t="n">
        <f aca="false">L8*1.01</f>
        <v>44.1848850164482</v>
      </c>
    </row>
    <row r="9" customFormat="false" ht="15" hidden="false" customHeight="true" outlineLevel="0" collapsed="false">
      <c r="A9" s="35" t="s">
        <v>132</v>
      </c>
      <c r="B9" s="34"/>
      <c r="C9" s="33" t="n">
        <f aca="false">SUM(C4:C8)</f>
        <v>225</v>
      </c>
      <c r="D9" s="33" t="n">
        <f aca="false">SUM(D4:D8)</f>
        <v>253.455</v>
      </c>
      <c r="E9" s="33" t="n">
        <f aca="false">SUM(E4:E8)</f>
        <v>298.8903</v>
      </c>
      <c r="F9" s="33" t="n">
        <f aca="false">SUM(F4:F8)</f>
        <v>354.033658</v>
      </c>
      <c r="G9" s="33" t="n">
        <f aca="false">SUM(G4:G8)</f>
        <v>403.63502928</v>
      </c>
      <c r="H9" s="33" t="n">
        <f aca="false">SUM(H4:H8)</f>
        <v>471.0235134308</v>
      </c>
      <c r="I9" s="33" t="n">
        <f aca="false">SUM(I4:I8)</f>
        <v>611.708737756084</v>
      </c>
      <c r="J9" s="33" t="n">
        <f aca="false">SUM(J4:J8)</f>
        <v>757.57227346872</v>
      </c>
      <c r="K9" s="33" t="n">
        <f aca="false">SUM(K4:K8)</f>
        <v>948.063415334841</v>
      </c>
      <c r="L9" s="33" t="n">
        <f aca="false">SUM(L4:L8)</f>
        <v>1131.64629818637</v>
      </c>
      <c r="M9" s="33" t="n">
        <f aca="false">SUM(M4:M8)</f>
        <v>1243.85386231654</v>
      </c>
    </row>
    <row r="10" customFormat="false" ht="15" hidden="false" customHeight="true" outlineLevel="0" collapsed="false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customFormat="false" ht="23.25" hidden="false" customHeight="true" outlineLevel="0" collapsed="false">
      <c r="A11" s="19" t="s">
        <v>133</v>
      </c>
    </row>
    <row r="12" customFormat="false" ht="34.5" hidden="false" customHeight="true" outlineLevel="0" collapsed="false">
      <c r="A12" s="36" t="s">
        <v>235</v>
      </c>
      <c r="B12" s="37" t="s">
        <v>236</v>
      </c>
      <c r="C12" s="79" t="n">
        <f aca="false">JapanCo!C5</f>
        <v>40</v>
      </c>
      <c r="D12" s="79" t="n">
        <f aca="false">JapanCo!D5</f>
        <v>57.955</v>
      </c>
      <c r="E12" s="79" t="n">
        <f aca="false">JapanCo!E5</f>
        <v>91.205</v>
      </c>
      <c r="F12" s="79" t="n">
        <f aca="false">JapanCo!F5</f>
        <v>131.945</v>
      </c>
      <c r="G12" s="79" t="n">
        <f aca="false">JapanCo!G5</f>
        <v>168.401</v>
      </c>
      <c r="H12" s="79" t="n">
        <f aca="false">JapanCo!H5</f>
        <v>212.991</v>
      </c>
      <c r="I12" s="79" t="n">
        <f aca="false">JapanCo!I5</f>
        <v>287.835</v>
      </c>
      <c r="J12" s="79" t="n">
        <f aca="false">JapanCo!J5</f>
        <v>324.585</v>
      </c>
      <c r="K12" s="79" t="n">
        <f aca="false">JapanCo!K5</f>
        <v>398.835</v>
      </c>
      <c r="L12" s="79" t="n">
        <f aca="false">JapanCo!L5</f>
        <v>481.995</v>
      </c>
      <c r="M12" s="79" t="n">
        <f aca="false">JapanCo!M5</f>
        <v>547.335</v>
      </c>
    </row>
    <row r="13" customFormat="false" ht="15" hidden="false" customHeight="true" outlineLevel="0" collapsed="false">
      <c r="A13" s="36" t="s">
        <v>237</v>
      </c>
      <c r="B13" s="37" t="s">
        <v>238</v>
      </c>
      <c r="C13" s="79" t="n">
        <f aca="false">CommodityCo!C4</f>
        <v>45</v>
      </c>
      <c r="D13" s="79" t="n">
        <f aca="false">CommodityCo!D4</f>
        <v>46.8</v>
      </c>
      <c r="E13" s="79" t="n">
        <f aca="false">CommodityCo!E4</f>
        <v>48.672</v>
      </c>
      <c r="F13" s="79" t="n">
        <f aca="false">CommodityCo!F4</f>
        <v>50.13216</v>
      </c>
      <c r="G13" s="79" t="n">
        <f aca="false">CommodityCo!G4</f>
        <v>47.1242304</v>
      </c>
      <c r="H13" s="79" t="n">
        <f aca="false">CommodityCo!H4</f>
        <v>50.894168832</v>
      </c>
      <c r="I13" s="79" t="n">
        <f aca="false">CommodityCo!I4</f>
        <v>53.94781896192</v>
      </c>
      <c r="J13" s="79" t="n">
        <f aca="false">CommodityCo!J4</f>
        <v>56.645209910016</v>
      </c>
      <c r="K13" s="79" t="n">
        <f aca="false">CommodityCo!K4</f>
        <v>59.4774704055168</v>
      </c>
      <c r="L13" s="79" t="n">
        <f aca="false">CommodityCo!L4</f>
        <v>60.6670198136272</v>
      </c>
      <c r="M13" s="79" t="n">
        <f aca="false">CommodityCo!M4</f>
        <v>33.3668608974949</v>
      </c>
    </row>
    <row r="14" customFormat="false" ht="15" hidden="false" customHeight="true" outlineLevel="0" collapsed="false">
      <c r="A14" s="74" t="s">
        <v>239</v>
      </c>
      <c r="C14" s="76" t="n">
        <v>0</v>
      </c>
      <c r="D14" s="76" t="n">
        <v>0</v>
      </c>
      <c r="E14" s="76" t="n">
        <v>0</v>
      </c>
      <c r="F14" s="76" t="n">
        <v>0</v>
      </c>
      <c r="G14" s="76" t="n">
        <v>0</v>
      </c>
      <c r="H14" s="76" t="n">
        <v>0</v>
      </c>
      <c r="I14" s="76" t="n">
        <v>0</v>
      </c>
      <c r="J14" s="76" t="n">
        <v>0</v>
      </c>
      <c r="K14" s="76" t="n">
        <v>0</v>
      </c>
      <c r="L14" s="76" t="n">
        <v>0</v>
      </c>
      <c r="M14" s="77" t="n">
        <f aca="false">CommodityCo!M9</f>
        <v>12</v>
      </c>
    </row>
    <row r="15" customFormat="false" ht="15" hidden="false" customHeight="true" outlineLevel="0" collapsed="false">
      <c r="A15" s="36" t="s">
        <v>240</v>
      </c>
      <c r="B15" s="40"/>
      <c r="C15" s="41" t="n">
        <v>100</v>
      </c>
      <c r="D15" s="39" t="n">
        <f aca="false">C13*1.02</f>
        <v>45.9</v>
      </c>
      <c r="E15" s="39" t="n">
        <f aca="false">D13*1.02</f>
        <v>47.736</v>
      </c>
      <c r="F15" s="39" t="n">
        <f aca="false">E13*1.02</f>
        <v>49.64544</v>
      </c>
      <c r="G15" s="39" t="n">
        <f aca="false">F13*1.02</f>
        <v>51.1348032</v>
      </c>
      <c r="H15" s="39" t="n">
        <f aca="false">G13*1.02</f>
        <v>48.066715008</v>
      </c>
      <c r="I15" s="39" t="n">
        <f aca="false">H13*1.02</f>
        <v>51.91205220864</v>
      </c>
      <c r="J15" s="39" t="n">
        <f aca="false">I13*1.02</f>
        <v>55.0267753411584</v>
      </c>
      <c r="K15" s="39" t="n">
        <f aca="false">J13*1.02</f>
        <v>57.7781141082163</v>
      </c>
      <c r="L15" s="39" t="n">
        <f aca="false">K13*1.02</f>
        <v>60.6670198136272</v>
      </c>
      <c r="M15" s="39" t="n">
        <f aca="false">L13*1.02</f>
        <v>61.8803602098997</v>
      </c>
    </row>
    <row r="16" customFormat="false" ht="15" hidden="false" customHeight="true" outlineLevel="0" collapsed="false">
      <c r="A16" s="36" t="s">
        <v>241</v>
      </c>
      <c r="B16" s="40"/>
      <c r="C16" s="41" t="n">
        <v>40</v>
      </c>
      <c r="D16" s="39" t="n">
        <f aca="false">C14*1.01</f>
        <v>0</v>
      </c>
      <c r="E16" s="39" t="n">
        <f aca="false">D14*1.01</f>
        <v>0</v>
      </c>
      <c r="F16" s="39" t="n">
        <f aca="false">E14*1.01</f>
        <v>0</v>
      </c>
      <c r="G16" s="39" t="n">
        <f aca="false">F14*1.01</f>
        <v>0</v>
      </c>
      <c r="H16" s="39" t="n">
        <f aca="false">G14*1.01</f>
        <v>0</v>
      </c>
      <c r="I16" s="39" t="n">
        <f aca="false">H14*1.01</f>
        <v>0</v>
      </c>
      <c r="J16" s="39" t="n">
        <f aca="false">I14*1.01</f>
        <v>0</v>
      </c>
      <c r="K16" s="39" t="n">
        <f aca="false">J14*1.01</f>
        <v>0</v>
      </c>
      <c r="L16" s="39" t="n">
        <f aca="false">K14*1.01</f>
        <v>0</v>
      </c>
      <c r="M16" s="39" t="n">
        <f aca="false">L14*1.01</f>
        <v>0</v>
      </c>
    </row>
    <row r="17" customFormat="false" ht="15" hidden="false" customHeight="true" outlineLevel="0" collapsed="false">
      <c r="A17" s="80" t="s">
        <v>141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</row>
    <row r="18" customFormat="false" ht="32.25" hidden="false" customHeight="true" outlineLevel="0" collapsed="false"/>
    <row r="19" customFormat="false" ht="32.25" hidden="false" customHeight="true" outlineLevel="0" collapsed="false">
      <c r="A19" s="81" t="s">
        <v>147</v>
      </c>
    </row>
    <row r="20" customFormat="false" ht="23.25" hidden="false" customHeight="true" outlineLevel="0" collapsed="false">
      <c r="A20" s="47" t="s">
        <v>242</v>
      </c>
      <c r="B20" s="48" t="s">
        <v>243</v>
      </c>
      <c r="C20" s="82" t="n">
        <f aca="false">IF(C4=0,"-",(C11+C12)/C4)</f>
        <v>0.4</v>
      </c>
      <c r="D20" s="82" t="n">
        <f aca="false">IF(D4=0,"-",(D11+D12)/D4)</f>
        <v>0.460856427179834</v>
      </c>
      <c r="E20" s="82" t="n">
        <f aca="false">IF(E4=0,"-",(E11+E12)/E4)</f>
        <v>0.541525676825456</v>
      </c>
      <c r="F20" s="82" t="n">
        <f aca="false">IF(F4=0,"-",(F11+F12)/F4)</f>
        <v>0.597772465432741</v>
      </c>
      <c r="G20" s="82" t="n">
        <f aca="false">IF(G4=0,"-",(G11+G12)/G4)</f>
        <v>0.629725869480518</v>
      </c>
      <c r="H20" s="82" t="n">
        <f aca="false">IF(H4=0,"-",(H11+H12)/H4)</f>
        <v>0.641878178721838</v>
      </c>
      <c r="I20" s="82" t="n">
        <f aca="false">IF(I4=0,"-",(I11+I12)/I4)</f>
        <v>0.613131431022293</v>
      </c>
      <c r="J20" s="82" t="n">
        <f aca="false">IF(J4=0,"-",(J11+J12)/J4)</f>
        <v>0.530214053259011</v>
      </c>
      <c r="K20" s="82" t="n">
        <f aca="false">IF(K4=0,"-",(K11+K12)/K4)</f>
        <v>0.498885824971458</v>
      </c>
      <c r="L20" s="82" t="n">
        <f aca="false">IF(L4=0,"-",(L11+L12)/L4)</f>
        <v>0.491964572507746</v>
      </c>
      <c r="M20" s="82" t="n">
        <f aca="false">IF(M4=0,"-",(M11+M12)/M4)</f>
        <v>0.508411458965784</v>
      </c>
    </row>
    <row r="21" customFormat="false" ht="32.25" hidden="false" customHeight="true" outlineLevel="0" collapsed="false">
      <c r="A21" s="47" t="s">
        <v>244</v>
      </c>
      <c r="B21" s="48" t="s">
        <v>245</v>
      </c>
      <c r="C21" s="50" t="n">
        <f aca="false">C9*0.08/(C9*1.05)</f>
        <v>0.0761904761904762</v>
      </c>
      <c r="D21" s="50" t="n">
        <f aca="false">D9*0.08/(D9*1.05)</f>
        <v>0.0761904761904762</v>
      </c>
      <c r="E21" s="50" t="n">
        <f aca="false">E9*0.08/(E9*1.05)</f>
        <v>0.0761904761904762</v>
      </c>
      <c r="F21" s="50" t="n">
        <f aca="false">F9*0.08/(F9*1.05)</f>
        <v>0.0761904761904762</v>
      </c>
      <c r="G21" s="50" t="n">
        <f aca="false">G9*0.08/(G9*1.05)</f>
        <v>0.0761904761904762</v>
      </c>
      <c r="H21" s="50" t="n">
        <f aca="false">H9*0.08/(H9*1.05)</f>
        <v>0.0761904761904762</v>
      </c>
      <c r="I21" s="50" t="n">
        <f aca="false">I9*0.08/(I9*1.05)</f>
        <v>0.0761904761904762</v>
      </c>
      <c r="J21" s="50" t="n">
        <f aca="false">J9*0.08/(J9*1.05)</f>
        <v>0.0761904761904762</v>
      </c>
      <c r="K21" s="50" t="n">
        <f aca="false">K9*0.08/(K9*1.05)</f>
        <v>0.0761904761904762</v>
      </c>
      <c r="L21" s="50" t="n">
        <f aca="false">L9*0.08/(L9*1.05)</f>
        <v>0.0761904761904762</v>
      </c>
      <c r="M21" s="50" t="n">
        <f aca="false">M9*0.08/(M9*1.05)</f>
        <v>0.0761904761904762</v>
      </c>
    </row>
    <row r="22" customFormat="false" ht="23.25" hidden="false" customHeight="true" outlineLevel="0" collapsed="false">
      <c r="A22" s="47" t="s">
        <v>246</v>
      </c>
      <c r="B22" s="72"/>
      <c r="C22" s="73" t="str">
        <f aca="false">IF(C21&lt;ASSUMPTIONS!C34,"YES","NO")</f>
        <v>NO</v>
      </c>
      <c r="D22" s="73" t="str">
        <f aca="false">IF(D21&lt;ASSUMPTIONS!D34,"YES","NO")</f>
        <v>NO</v>
      </c>
      <c r="E22" s="73" t="str">
        <f aca="false">IF(E21&lt;ASSUMPTIONS!E34,"YES","NO")</f>
        <v>NO</v>
      </c>
      <c r="F22" s="73" t="str">
        <f aca="false">IF(F21&lt;ASSUMPTIONS!F34,"YES","NO")</f>
        <v>NO</v>
      </c>
      <c r="G22" s="73" t="str">
        <f aca="false">IF(G21&lt;ASSUMPTIONS!G34,"YES","NO")</f>
        <v>NO</v>
      </c>
      <c r="H22" s="73" t="str">
        <f aca="false">IF(H21&lt;ASSUMPTIONS!H34,"YES","NO")</f>
        <v>NO</v>
      </c>
      <c r="I22" s="73" t="str">
        <f aca="false">IF(I21&lt;ASSUMPTIONS!I34,"YES","NO")</f>
        <v>NO</v>
      </c>
      <c r="J22" s="73" t="str">
        <f aca="false">IF(J21&lt;ASSUMPTIONS!J34,"YES","NO")</f>
        <v>NO</v>
      </c>
      <c r="K22" s="73" t="str">
        <f aca="false">IF(K21&lt;ASSUMPTIONS!K34,"YES","NO")</f>
        <v>NO</v>
      </c>
      <c r="L22" s="73" t="str">
        <f aca="false">IF(L21&lt;ASSUMPTIONS!L34,"YES","NO")</f>
        <v>NO</v>
      </c>
      <c r="M22" s="73" t="str">
        <f aca="false">IF(M21&lt;ASSUMPTIONS!M34,"YES","NO")</f>
        <v>NO</v>
      </c>
    </row>
    <row r="23" customFormat="false" ht="15" hidden="false" customHeight="true" outlineLevel="0" collapsed="false">
      <c r="A23" s="94" t="s">
        <v>247</v>
      </c>
      <c r="C23" s="95" t="n">
        <f aca="false">IF(C4=0,"-",(C11+C12+C13)/C4)</f>
        <v>0.85</v>
      </c>
      <c r="D23" s="95" t="n">
        <f aca="false">IF(D4=0,"-",(D11+D12+D13)/D4)</f>
        <v>0.833008627887559</v>
      </c>
      <c r="E23" s="95" t="n">
        <f aca="false">IF(E4=0,"-",(E11+E12+E13)/E4)</f>
        <v>0.83051353650912</v>
      </c>
      <c r="F23" s="95" t="n">
        <f aca="false">IF(F4=0,"-",(F11+F12+F13)/F4)</f>
        <v>0.824894560856354</v>
      </c>
      <c r="G23" s="95" t="n">
        <f aca="false">IF(G4=0,"-",(G11+G12+G13)/G4)</f>
        <v>0.805944223066544</v>
      </c>
      <c r="H23" s="95" t="n">
        <f aca="false">IF(H4=0,"-",(H11+H12+H13)/H4)</f>
        <v>0.795254877255795</v>
      </c>
      <c r="I23" s="95" t="n">
        <f aca="false">IF(I4=0,"-",(I11+I12+I13)/I4)</f>
        <v>0.728048322438047</v>
      </c>
      <c r="J23" s="95" t="n">
        <f aca="false">IF(J4=0,"-",(J11+J12+J13)/J4)</f>
        <v>0.622744781247356</v>
      </c>
      <c r="K23" s="95" t="n">
        <f aca="false">IF(K4=0,"-",(K11+K12+K13)/K4)</f>
        <v>0.573283675938579</v>
      </c>
      <c r="L23" s="95" t="n">
        <f aca="false">IF(L4=0,"-",(L11+L12+L13)/L4)</f>
        <v>0.553886427439706</v>
      </c>
      <c r="M23" s="95" t="n">
        <f aca="false">IF(M4=0,"-",(M11+M12+M13)/M4)</f>
        <v>0.539405446980444</v>
      </c>
    </row>
  </sheetData>
  <mergeCells count="4">
    <mergeCell ref="A1:M1"/>
    <mergeCell ref="A3:M3"/>
    <mergeCell ref="A10:M10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248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249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23.25" hidden="false" customHeight="true" outlineLevel="0" collapsed="false">
      <c r="A4" s="29" t="s">
        <v>250</v>
      </c>
      <c r="B4" s="30" t="s">
        <v>251</v>
      </c>
      <c r="C4" s="33" t="n">
        <f aca="false">GlobalBankCo!C4*(1-ASSUMPTIONS!C39)</f>
        <v>75</v>
      </c>
      <c r="D4" s="33" t="n">
        <f aca="false">GlobalBankCo!D4*(1-ASSUMPTIONS!D39)</f>
        <v>88.0285</v>
      </c>
      <c r="E4" s="33" t="n">
        <f aca="false">GlobalBankCo!E4*(1-ASSUMPTIONS!E39)</f>
        <v>109.474495</v>
      </c>
      <c r="F4" s="33" t="n">
        <f aca="false">GlobalBankCo!F4*(1-ASSUMPTIONS!F39)</f>
        <v>132.4366788</v>
      </c>
      <c r="G4" s="33" t="n">
        <f aca="false">GlobalBankCo!G4*(1-ASSUMPTIONS!G39)</f>
        <v>133.70976814</v>
      </c>
      <c r="H4" s="33" t="n">
        <f aca="false">GlobalBankCo!H4*(1-ASSUMPTIONS!H39)</f>
        <v>149.32109109996</v>
      </c>
      <c r="I4" s="33" t="n">
        <f aca="false">GlobalBankCo!I4*(1-ASSUMPTIONS!I39)</f>
        <v>140.835220037611</v>
      </c>
      <c r="J4" s="33" t="n">
        <f aca="false">GlobalBankCo!J4*(1-ASSUMPTIONS!J39)</f>
        <v>171.40964001496</v>
      </c>
      <c r="K4" s="33" t="n">
        <f aca="false">GlobalBankCo!K4*(1-ASSUMPTIONS!K39)</f>
        <v>199.862864425351</v>
      </c>
      <c r="L4" s="33" t="n">
        <f aca="false">GlobalBankCo!L4*(1-ASSUMPTIONS!L39)</f>
        <v>235.136443688084</v>
      </c>
      <c r="M4" s="33" t="n">
        <f aca="false">GlobalBankCo!M4*(1-ASSUMPTIONS!M39)</f>
        <v>258.374192169497</v>
      </c>
    </row>
    <row r="5" customFormat="false" ht="34.5" hidden="false" customHeight="true" outlineLevel="0" collapsed="false">
      <c r="A5" s="29" t="s">
        <v>252</v>
      </c>
      <c r="B5" s="30" t="s">
        <v>253</v>
      </c>
      <c r="C5" s="33" t="n">
        <f aca="false">GlobalBankCo!C4</f>
        <v>100</v>
      </c>
      <c r="D5" s="33" t="n">
        <f aca="false">GlobalBankCo!D4</f>
        <v>125.755</v>
      </c>
      <c r="E5" s="33" t="n">
        <f aca="false">GlobalBankCo!E4</f>
        <v>168.4223</v>
      </c>
      <c r="F5" s="33" t="n">
        <f aca="false">GlobalBankCo!F4</f>
        <v>220.727798</v>
      </c>
      <c r="G5" s="33" t="n">
        <f aca="false">GlobalBankCo!G4</f>
        <v>267.41953628</v>
      </c>
      <c r="H5" s="33" t="n">
        <f aca="false">GlobalBankCo!H4</f>
        <v>331.8246468888</v>
      </c>
      <c r="I5" s="33" t="n">
        <f aca="false">GlobalBankCo!I4</f>
        <v>469.450733458704</v>
      </c>
      <c r="J5" s="33" t="n">
        <f aca="false">GlobalBankCo!J4</f>
        <v>612.177285767715</v>
      </c>
      <c r="K5" s="33" t="n">
        <f aca="false">GlobalBankCo!K4</f>
        <v>799.451457701405</v>
      </c>
      <c r="L5" s="33" t="n">
        <f aca="false">GlobalBankCo!L4</f>
        <v>979.735182033684</v>
      </c>
      <c r="M5" s="33" t="n">
        <f aca="false">GlobalBankCo!M4</f>
        <v>1076.55913403957</v>
      </c>
    </row>
    <row r="6" customFormat="false" ht="15" hidden="false" customHeight="true" outlineLevel="0" collapsed="false">
      <c r="A6" s="74" t="s">
        <v>254</v>
      </c>
      <c r="C6" s="76" t="n">
        <v>0</v>
      </c>
      <c r="D6" s="76" t="n">
        <v>0</v>
      </c>
      <c r="E6" s="76" t="n">
        <v>0</v>
      </c>
      <c r="F6" s="76" t="n">
        <v>0</v>
      </c>
      <c r="G6" s="76" t="n">
        <v>0</v>
      </c>
      <c r="H6" s="76" t="n">
        <v>0</v>
      </c>
      <c r="I6" s="76" t="n">
        <v>0</v>
      </c>
      <c r="J6" s="76" t="n">
        <v>0</v>
      </c>
      <c r="K6" s="76" t="n">
        <v>0</v>
      </c>
      <c r="L6" s="76" t="n">
        <v>0</v>
      </c>
      <c r="M6" s="77" t="n">
        <f aca="false">GlobalBankCo!M5</f>
        <v>12</v>
      </c>
    </row>
    <row r="7" customFormat="false" ht="15" hidden="false" customHeight="true" outlineLevel="0" collapsed="false">
      <c r="A7" s="35" t="s">
        <v>255</v>
      </c>
      <c r="B7" s="34"/>
      <c r="C7" s="33" t="n">
        <f aca="false">SUM(C4:C6)</f>
        <v>175</v>
      </c>
      <c r="D7" s="33" t="n">
        <f aca="false">SUM(D4:D6)</f>
        <v>213.7835</v>
      </c>
      <c r="E7" s="33" t="n">
        <f aca="false">SUM(E4:E6)</f>
        <v>277.896795</v>
      </c>
      <c r="F7" s="33" t="n">
        <f aca="false">SUM(F4:F6)</f>
        <v>353.1644768</v>
      </c>
      <c r="G7" s="33" t="n">
        <f aca="false">SUM(G4:G6)</f>
        <v>401.12930442</v>
      </c>
      <c r="H7" s="33" t="n">
        <f aca="false">SUM(H4:H6)</f>
        <v>481.14573798876</v>
      </c>
      <c r="I7" s="33" t="n">
        <f aca="false">SUM(I4:I6)</f>
        <v>610.285953496315</v>
      </c>
      <c r="J7" s="33" t="n">
        <f aca="false">SUM(J4:J6)</f>
        <v>783.586925782675</v>
      </c>
      <c r="K7" s="33" t="n">
        <f aca="false">SUM(K4:K6)</f>
        <v>999.314322126756</v>
      </c>
      <c r="L7" s="33" t="n">
        <f aca="false">SUM(L4:L6)</f>
        <v>1214.87162572177</v>
      </c>
      <c r="M7" s="33" t="n">
        <f aca="false">SUM(M4:M6)</f>
        <v>1346.93332620907</v>
      </c>
    </row>
    <row r="8" customFormat="false" ht="15" hidden="false" customHeight="true" outlineLevel="0" collapsed="false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</row>
    <row r="9" customFormat="false" ht="34.5" hidden="false" customHeight="true" outlineLevel="0" collapsed="false">
      <c r="A9" s="19" t="s">
        <v>256</v>
      </c>
    </row>
    <row r="10" customFormat="false" ht="34.5" hidden="false" customHeight="true" outlineLevel="0" collapsed="false">
      <c r="A10" s="36" t="s">
        <v>257</v>
      </c>
      <c r="B10" s="37" t="s">
        <v>258</v>
      </c>
      <c r="C10" s="79" t="n">
        <f aca="false">GlobalBankCo!C4</f>
        <v>100</v>
      </c>
      <c r="D10" s="79" t="n">
        <f aca="false">GlobalBankCo!D4</f>
        <v>125.755</v>
      </c>
      <c r="E10" s="79" t="n">
        <f aca="false">GlobalBankCo!E4</f>
        <v>168.4223</v>
      </c>
      <c r="F10" s="79" t="n">
        <f aca="false">GlobalBankCo!F4</f>
        <v>220.727798</v>
      </c>
      <c r="G10" s="79" t="n">
        <f aca="false">GlobalBankCo!G4</f>
        <v>267.41953628</v>
      </c>
      <c r="H10" s="79" t="n">
        <f aca="false">GlobalBankCo!H4</f>
        <v>331.8246468888</v>
      </c>
      <c r="I10" s="79" t="n">
        <f aca="false">GlobalBankCo!I4</f>
        <v>469.450733458704</v>
      </c>
      <c r="J10" s="79" t="n">
        <f aca="false">GlobalBankCo!J4</f>
        <v>612.177285767715</v>
      </c>
      <c r="K10" s="79" t="n">
        <f aca="false">GlobalBankCo!K4</f>
        <v>799.451457701405</v>
      </c>
      <c r="L10" s="79" t="n">
        <f aca="false">GlobalBankCo!L4</f>
        <v>979.735182033684</v>
      </c>
      <c r="M10" s="79" t="n">
        <f aca="false">GlobalBankCo!M4</f>
        <v>1076.55913403957</v>
      </c>
    </row>
    <row r="11" customFormat="false" ht="15" hidden="false" customHeight="true" outlineLevel="0" collapsed="false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</row>
    <row r="12" customFormat="false" ht="32.25" hidden="false" customHeight="true" outlineLevel="0" collapsed="false">
      <c r="A12" s="96" t="s">
        <v>259</v>
      </c>
    </row>
    <row r="13" customFormat="false" ht="32.25" hidden="false" customHeight="true" outlineLevel="0" collapsed="false">
      <c r="A13" s="97" t="s">
        <v>260</v>
      </c>
      <c r="B13" s="98" t="s">
        <v>261</v>
      </c>
      <c r="C13" s="99" t="n">
        <f aca="false">GlobalBankCo!C4*ASSUMPTIONS!C39</f>
        <v>25</v>
      </c>
      <c r="D13" s="99" t="n">
        <f aca="false">GlobalBankCo!D4*ASSUMPTIONS!D39</f>
        <v>37.7265</v>
      </c>
      <c r="E13" s="99" t="n">
        <f aca="false">GlobalBankCo!E4*ASSUMPTIONS!E39</f>
        <v>58.947805</v>
      </c>
      <c r="F13" s="99" t="n">
        <f aca="false">GlobalBankCo!F4*ASSUMPTIONS!F39</f>
        <v>88.2911192</v>
      </c>
      <c r="G13" s="99" t="n">
        <f aca="false">GlobalBankCo!G4*ASSUMPTIONS!G39</f>
        <v>133.70976814</v>
      </c>
      <c r="H13" s="99" t="n">
        <f aca="false">GlobalBankCo!H4*ASSUMPTIONS!H39</f>
        <v>182.50355578884</v>
      </c>
      <c r="I13" s="99" t="n">
        <f aca="false">GlobalBankCo!I4*ASSUMPTIONS!I39</f>
        <v>328.615513421093</v>
      </c>
      <c r="J13" s="99" t="n">
        <f aca="false">GlobalBankCo!J4*ASSUMPTIONS!J39</f>
        <v>440.767645752755</v>
      </c>
      <c r="K13" s="99" t="n">
        <f aca="false">GlobalBankCo!K4*ASSUMPTIONS!K39</f>
        <v>599.588593276053</v>
      </c>
      <c r="L13" s="99" t="n">
        <f aca="false">GlobalBankCo!L4*ASSUMPTIONS!L39</f>
        <v>744.5987383456</v>
      </c>
      <c r="M13" s="99" t="n">
        <f aca="false">GlobalBankCo!M4*ASSUMPTIONS!M39</f>
        <v>818.184941870075</v>
      </c>
    </row>
    <row r="14" customFormat="false" ht="15" hidden="false" customHeight="true" outlineLevel="0" collapsed="false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</row>
    <row r="15" customFormat="false" ht="23.25" hidden="false" customHeight="true" outlineLevel="0" collapsed="false">
      <c r="A15" s="81" t="s">
        <v>147</v>
      </c>
    </row>
    <row r="16" customFormat="false" ht="23.25" hidden="false" customHeight="true" outlineLevel="0" collapsed="false">
      <c r="A16" s="47" t="s">
        <v>262</v>
      </c>
      <c r="B16" s="48" t="s">
        <v>263</v>
      </c>
      <c r="C16" s="100" t="n">
        <f aca="false">IF(C4=0,"-",C5/C4)</f>
        <v>1.33333333333333</v>
      </c>
      <c r="D16" s="100" t="n">
        <f aca="false">IF(D4=0,"-",D5/D4)</f>
        <v>1.42857142857143</v>
      </c>
      <c r="E16" s="100" t="n">
        <f aca="false">IF(E4=0,"-",E5/E4)</f>
        <v>1.53846153846154</v>
      </c>
      <c r="F16" s="100" t="n">
        <f aca="false">IF(F4=0,"-",F5/F4)</f>
        <v>1.66666666666667</v>
      </c>
      <c r="G16" s="100" t="n">
        <f aca="false">IF(G4=0,"-",G5/G4)</f>
        <v>2</v>
      </c>
      <c r="H16" s="100" t="n">
        <f aca="false">IF(H4=0,"-",H5/H4)</f>
        <v>2.22222222222222</v>
      </c>
      <c r="I16" s="100" t="n">
        <f aca="false">IF(I4=0,"-",I5/I4)</f>
        <v>3.33333333333333</v>
      </c>
      <c r="J16" s="100" t="n">
        <f aca="false">IF(J4=0,"-",J5/J4)</f>
        <v>3.57142857142857</v>
      </c>
      <c r="K16" s="100" t="n">
        <f aca="false">IF(K4=0,"-",K5/K4)</f>
        <v>4</v>
      </c>
      <c r="L16" s="100" t="n">
        <f aca="false">IF(L4=0,"-",L5/L4)</f>
        <v>4.16666666666667</v>
      </c>
      <c r="M16" s="100" t="n">
        <f aca="false">IF(M4=0,"-",M5/M4)</f>
        <v>4.16666666666667</v>
      </c>
    </row>
    <row r="17" customFormat="false" ht="23.25" hidden="false" customHeight="true" outlineLevel="0" collapsed="false">
      <c r="A17" s="47" t="s">
        <v>264</v>
      </c>
      <c r="B17" s="48" t="s">
        <v>265</v>
      </c>
      <c r="C17" s="101" t="n">
        <f aca="false">ASSUMPTIONS!C39</f>
        <v>0.25</v>
      </c>
      <c r="D17" s="101" t="n">
        <f aca="false">ASSUMPTIONS!D39</f>
        <v>0.3</v>
      </c>
      <c r="E17" s="101" t="n">
        <f aca="false">ASSUMPTIONS!E39</f>
        <v>0.35</v>
      </c>
      <c r="F17" s="101" t="n">
        <f aca="false">ASSUMPTIONS!F39</f>
        <v>0.4</v>
      </c>
      <c r="G17" s="101" t="n">
        <f aca="false">ASSUMPTIONS!G39</f>
        <v>0.5</v>
      </c>
      <c r="H17" s="101" t="n">
        <f aca="false">ASSUMPTIONS!H39</f>
        <v>0.55</v>
      </c>
      <c r="I17" s="101" t="n">
        <f aca="false">ASSUMPTIONS!I39</f>
        <v>0.7</v>
      </c>
      <c r="J17" s="101" t="n">
        <f aca="false">ASSUMPTIONS!J39</f>
        <v>0.72</v>
      </c>
      <c r="K17" s="101" t="n">
        <f aca="false">ASSUMPTIONS!K39</f>
        <v>0.75</v>
      </c>
      <c r="L17" s="101" t="n">
        <f aca="false">ASSUMPTIONS!L39</f>
        <v>0.76</v>
      </c>
      <c r="M17" s="101" t="n">
        <f aca="false">ASSUMPTIONS!M39</f>
        <v>0.76</v>
      </c>
    </row>
  </sheetData>
  <mergeCells count="5">
    <mergeCell ref="A1:M1"/>
    <mergeCell ref="A3:M3"/>
    <mergeCell ref="A8:M8"/>
    <mergeCell ref="A11:M11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266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249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21.75" hidden="false" customHeight="true" outlineLevel="0" collapsed="false">
      <c r="A4" s="29" t="s">
        <v>267</v>
      </c>
      <c r="B4" s="30" t="s">
        <v>268</v>
      </c>
      <c r="C4" s="31" t="n">
        <f aca="false">RepoCo!C5</f>
        <v>100</v>
      </c>
      <c r="D4" s="31" t="n">
        <f aca="false">RepoCo!D5</f>
        <v>125.755</v>
      </c>
      <c r="E4" s="31" t="n">
        <f aca="false">RepoCo!E5</f>
        <v>168.4223</v>
      </c>
      <c r="F4" s="31" t="n">
        <f aca="false">RepoCo!F5</f>
        <v>220.727798</v>
      </c>
      <c r="G4" s="31" t="n">
        <f aca="false">RepoCo!G5</f>
        <v>267.41953628</v>
      </c>
      <c r="H4" s="31" t="n">
        <f aca="false">RepoCo!H5</f>
        <v>331.8246468888</v>
      </c>
      <c r="I4" s="31" t="n">
        <f aca="false">RepoCo!I5</f>
        <v>469.450733458704</v>
      </c>
      <c r="J4" s="31" t="n">
        <f aca="false">RepoCo!J5</f>
        <v>612.177285767715</v>
      </c>
      <c r="K4" s="31" t="n">
        <f aca="false">RepoCo!K5</f>
        <v>799.451457701405</v>
      </c>
      <c r="L4" s="31" t="n">
        <f aca="false">RepoCo!L5</f>
        <v>979.735182033684</v>
      </c>
      <c r="M4" s="31" t="n">
        <f aca="false">RepoCo!M5</f>
        <v>1076.55913403957</v>
      </c>
    </row>
    <row r="5" customFormat="false" ht="15" hidden="false" customHeight="true" outlineLevel="0" collapsed="false">
      <c r="A5" s="74" t="s">
        <v>269</v>
      </c>
      <c r="C5" s="76" t="n">
        <v>0</v>
      </c>
      <c r="D5" s="76" t="n">
        <v>0</v>
      </c>
      <c r="E5" s="76" t="n">
        <v>0</v>
      </c>
      <c r="F5" s="76" t="n">
        <v>0</v>
      </c>
      <c r="G5" s="76" t="n">
        <v>0</v>
      </c>
      <c r="H5" s="76" t="n">
        <v>0</v>
      </c>
      <c r="I5" s="76" t="n">
        <v>0</v>
      </c>
      <c r="J5" s="76" t="n">
        <v>0</v>
      </c>
      <c r="K5" s="76" t="n">
        <v>0</v>
      </c>
      <c r="L5" s="76" t="n">
        <v>0</v>
      </c>
      <c r="M5" s="77" t="n">
        <f aca="false">RepoCo!M6</f>
        <v>12</v>
      </c>
    </row>
    <row r="6" customFormat="false" ht="15" hidden="false" customHeight="true" outlineLevel="0" collapsed="false">
      <c r="A6" s="29" t="s">
        <v>270</v>
      </c>
      <c r="B6" s="30" t="s">
        <v>271</v>
      </c>
      <c r="C6" s="33" t="n">
        <f aca="false">C4*ASSUMPTIONS!C41*0.015</f>
        <v>1.95</v>
      </c>
      <c r="D6" s="33" t="n">
        <f aca="false">D4*ASSUMPTIONS!D41*0.015</f>
        <v>2.4522225</v>
      </c>
      <c r="E6" s="33" t="n">
        <f aca="false">E4*ASSUMPTIONS!E41*0.015</f>
        <v>3.28423485</v>
      </c>
      <c r="F6" s="33" t="n">
        <f aca="false">F4*ASSUMPTIONS!F41*0.015</f>
        <v>4.304192061</v>
      </c>
      <c r="G6" s="33" t="n">
        <f aca="false">G4*ASSUMPTIONS!G41*0.015</f>
        <v>5.21468095746</v>
      </c>
      <c r="H6" s="33" t="n">
        <f aca="false">H4*ASSUMPTIONS!H41*0.015</f>
        <v>6.4705806143316</v>
      </c>
      <c r="I6" s="33" t="n">
        <f aca="false">I4*ASSUMPTIONS!I41*0.015</f>
        <v>9.15428930244473</v>
      </c>
      <c r="J6" s="33" t="n">
        <f aca="false">J4*ASSUMPTIONS!J41*0.015</f>
        <v>11.9374570724704</v>
      </c>
      <c r="K6" s="33" t="n">
        <f aca="false">K4*ASSUMPTIONS!K41*0.015</f>
        <v>15.5893034251774</v>
      </c>
      <c r="L6" s="33" t="n">
        <f aca="false">L4*ASSUMPTIONS!L41*0.015</f>
        <v>19.1048360496568</v>
      </c>
      <c r="M6" s="33" t="n">
        <f aca="false">M4*ASSUMPTIONS!M41*0.015</f>
        <v>20.9929031137717</v>
      </c>
    </row>
    <row r="7" customFormat="false" ht="15" hidden="false" customHeight="true" outlineLevel="0" collapsed="false">
      <c r="A7" s="35" t="s">
        <v>255</v>
      </c>
      <c r="B7" s="34"/>
      <c r="C7" s="33" t="n">
        <f aca="false">SUM(C4:C6)</f>
        <v>101.95</v>
      </c>
      <c r="D7" s="33" t="n">
        <f aca="false">SUM(D4:D6)</f>
        <v>128.2072225</v>
      </c>
      <c r="E7" s="33" t="n">
        <f aca="false">SUM(E4:E6)</f>
        <v>171.70653485</v>
      </c>
      <c r="F7" s="33" t="n">
        <f aca="false">SUM(F4:F6)</f>
        <v>225.031990061</v>
      </c>
      <c r="G7" s="33" t="n">
        <f aca="false">SUM(G4:G6)</f>
        <v>272.63421723746</v>
      </c>
      <c r="H7" s="33" t="n">
        <f aca="false">SUM(H4:H6)</f>
        <v>338.295227503132</v>
      </c>
      <c r="I7" s="33" t="n">
        <f aca="false">SUM(I4:I6)</f>
        <v>478.605022761149</v>
      </c>
      <c r="J7" s="33" t="n">
        <f aca="false">SUM(J4:J6)</f>
        <v>624.114742840186</v>
      </c>
      <c r="K7" s="33" t="n">
        <f aca="false">SUM(K4:K6)</f>
        <v>815.040761126582</v>
      </c>
      <c r="L7" s="33" t="n">
        <f aca="false">SUM(L4:L6)</f>
        <v>998.84001808334</v>
      </c>
      <c r="M7" s="33" t="n">
        <f aca="false">SUM(M4:M6)</f>
        <v>1109.55203715334</v>
      </c>
    </row>
    <row r="8" customFormat="false" ht="15" hidden="false" customHeight="true" outlineLevel="0" collapsed="false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</row>
    <row r="9" customFormat="false" ht="34.5" hidden="false" customHeight="true" outlineLevel="0" collapsed="false">
      <c r="A9" s="19" t="s">
        <v>256</v>
      </c>
    </row>
    <row r="10" customFormat="false" ht="34.5" hidden="false" customHeight="true" outlineLevel="0" collapsed="false">
      <c r="A10" s="36" t="s">
        <v>272</v>
      </c>
      <c r="B10" s="37" t="s">
        <v>273</v>
      </c>
      <c r="C10" s="79" t="n">
        <f aca="false">RepoCo!C5</f>
        <v>100</v>
      </c>
      <c r="D10" s="79" t="n">
        <f aca="false">RepoCo!D5</f>
        <v>125.755</v>
      </c>
      <c r="E10" s="79" t="n">
        <f aca="false">RepoCo!E5</f>
        <v>168.4223</v>
      </c>
      <c r="F10" s="79" t="n">
        <f aca="false">RepoCo!F5</f>
        <v>220.727798</v>
      </c>
      <c r="G10" s="79" t="n">
        <f aca="false">RepoCo!G5</f>
        <v>267.41953628</v>
      </c>
      <c r="H10" s="79" t="n">
        <f aca="false">RepoCo!H5</f>
        <v>331.8246468888</v>
      </c>
      <c r="I10" s="79" t="n">
        <f aca="false">RepoCo!I5</f>
        <v>469.450733458704</v>
      </c>
      <c r="J10" s="79" t="n">
        <f aca="false">RepoCo!J5</f>
        <v>612.177285767715</v>
      </c>
      <c r="K10" s="79" t="n">
        <f aca="false">RepoCo!K5</f>
        <v>799.451457701405</v>
      </c>
      <c r="L10" s="79" t="n">
        <f aca="false">RepoCo!L5</f>
        <v>979.735182033684</v>
      </c>
      <c r="M10" s="79" t="n">
        <f aca="false">RepoCo!M5</f>
        <v>1076.55913403957</v>
      </c>
    </row>
    <row r="11" customFormat="false" ht="15" hidden="false" customHeight="true" outlineLevel="0" collapsed="false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</row>
    <row r="12" customFormat="false" ht="32.25" hidden="false" customHeight="true" outlineLevel="0" collapsed="false">
      <c r="A12" s="96" t="s">
        <v>274</v>
      </c>
    </row>
    <row r="13" customFormat="false" ht="23.25" hidden="false" customHeight="true" outlineLevel="0" collapsed="false">
      <c r="A13" s="97" t="s">
        <v>275</v>
      </c>
      <c r="B13" s="98" t="s">
        <v>276</v>
      </c>
      <c r="C13" s="99" t="n">
        <f aca="false">C4*ASSUMPTIONS!C41</f>
        <v>130</v>
      </c>
      <c r="D13" s="99" t="n">
        <f aca="false">D4*ASSUMPTIONS!D41</f>
        <v>163.4815</v>
      </c>
      <c r="E13" s="99" t="n">
        <f aca="false">E4*ASSUMPTIONS!E41</f>
        <v>218.94899</v>
      </c>
      <c r="F13" s="99" t="n">
        <f aca="false">F4*ASSUMPTIONS!F41</f>
        <v>286.9461374</v>
      </c>
      <c r="G13" s="99" t="n">
        <f aca="false">G4*ASSUMPTIONS!G41</f>
        <v>347.645397164</v>
      </c>
      <c r="H13" s="99" t="n">
        <f aca="false">H4*ASSUMPTIONS!H41</f>
        <v>431.37204095544</v>
      </c>
      <c r="I13" s="99" t="n">
        <f aca="false">I4*ASSUMPTIONS!I41</f>
        <v>610.285953496315</v>
      </c>
      <c r="J13" s="99" t="n">
        <f aca="false">J4*ASSUMPTIONS!J41</f>
        <v>795.83047149803</v>
      </c>
      <c r="K13" s="99" t="n">
        <f aca="false">K4*ASSUMPTIONS!K41</f>
        <v>1039.28689501183</v>
      </c>
      <c r="L13" s="99" t="n">
        <f aca="false">L4*ASSUMPTIONS!L41</f>
        <v>1273.65573664379</v>
      </c>
      <c r="M13" s="99" t="n">
        <f aca="false">M4*ASSUMPTIONS!M41</f>
        <v>1399.52687425144</v>
      </c>
    </row>
    <row r="14" customFormat="false" ht="23.25" hidden="false" customHeight="true" outlineLevel="0" collapsed="false">
      <c r="A14" s="97" t="s">
        <v>277</v>
      </c>
      <c r="B14" s="98" t="s">
        <v>278</v>
      </c>
      <c r="C14" s="102" t="n">
        <f aca="false">C4+C5+C13</f>
        <v>230</v>
      </c>
      <c r="D14" s="102" t="n">
        <f aca="false">D4+D5+D13</f>
        <v>289.2365</v>
      </c>
      <c r="E14" s="102" t="n">
        <f aca="false">E4+E5+E13</f>
        <v>387.37129</v>
      </c>
      <c r="F14" s="102" t="n">
        <f aca="false">F4+F5+F13</f>
        <v>507.6739354</v>
      </c>
      <c r="G14" s="102" t="n">
        <f aca="false">G4+G5+G13</f>
        <v>615.064933444</v>
      </c>
      <c r="H14" s="102" t="n">
        <f aca="false">H4+H5+H13</f>
        <v>763.19668784424</v>
      </c>
      <c r="I14" s="102" t="n">
        <f aca="false">I4+I5+I13</f>
        <v>1079.73668695502</v>
      </c>
      <c r="J14" s="102" t="n">
        <f aca="false">J4+J5+J13</f>
        <v>1408.00775726574</v>
      </c>
      <c r="K14" s="102" t="n">
        <f aca="false">K4+K5+K13</f>
        <v>1838.73835271323</v>
      </c>
      <c r="L14" s="102" t="n">
        <f aca="false">L4+L5+L13</f>
        <v>2253.39091867747</v>
      </c>
      <c r="M14" s="102" t="n">
        <f aca="false">M4+M5+M13</f>
        <v>2488.08600829102</v>
      </c>
    </row>
    <row r="15" customFormat="fals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</row>
    <row r="16" customFormat="false" ht="21.75" hidden="false" customHeight="true" outlineLevel="0" collapsed="false">
      <c r="A16" s="81" t="s">
        <v>147</v>
      </c>
    </row>
    <row r="17" customFormat="false" ht="32.25" hidden="false" customHeight="true" outlineLevel="0" collapsed="false">
      <c r="A17" s="47" t="s">
        <v>279</v>
      </c>
      <c r="B17" s="103" t="s">
        <v>280</v>
      </c>
      <c r="C17" s="104" t="n">
        <f aca="false">IF(ASSUMPTIONS!C43=0,"-",C14/ASSUMPTIONS!C43)</f>
        <v>23</v>
      </c>
      <c r="D17" s="104" t="n">
        <f aca="false">IF(ASSUMPTIONS!C43=0,"-",D14/ASSUMPTIONS!C43)</f>
        <v>28.92365</v>
      </c>
      <c r="E17" s="104" t="n">
        <f aca="false">IF(ASSUMPTIONS!C43=0,"-",E14/ASSUMPTIONS!C43)</f>
        <v>38.737129</v>
      </c>
      <c r="F17" s="104" t="n">
        <f aca="false">IF(ASSUMPTIONS!C43=0,"-",F14/ASSUMPTIONS!C43)</f>
        <v>50.76739354</v>
      </c>
      <c r="G17" s="104" t="n">
        <f aca="false">IF(ASSUMPTIONS!C43=0,"-",G14/ASSUMPTIONS!C43)</f>
        <v>61.5064933444</v>
      </c>
      <c r="H17" s="104" t="n">
        <f aca="false">IF(ASSUMPTIONS!C43=0,"-",H14/ASSUMPTIONS!C43)</f>
        <v>76.319668784424</v>
      </c>
      <c r="I17" s="104" t="n">
        <f aca="false">IF(ASSUMPTIONS!C43=0,"-",I14/ASSUMPTIONS!C43)</f>
        <v>107.973668695502</v>
      </c>
      <c r="J17" s="104" t="n">
        <f aca="false">IF(ASSUMPTIONS!C43=0,"-",J14/ASSUMPTIONS!C43)</f>
        <v>140.800775726574</v>
      </c>
      <c r="K17" s="104" t="n">
        <f aca="false">IF(ASSUMPTIONS!C43=0,"-",K14/ASSUMPTIONS!C43)</f>
        <v>183.873835271323</v>
      </c>
      <c r="L17" s="104" t="n">
        <f aca="false">IF(ASSUMPTIONS!C43=0,"-",L14/ASSUMPTIONS!C43)</f>
        <v>225.339091867747</v>
      </c>
      <c r="M17" s="104" t="n">
        <f aca="false">IF(ASSUMPTIONS!C43=0,"-",M14/ASSUMPTIONS!C43)</f>
        <v>248.808600829102</v>
      </c>
    </row>
    <row r="18" customFormat="false" ht="32.25" hidden="false" customHeight="true" outlineLevel="0" collapsed="false">
      <c r="A18" s="105" t="s">
        <v>281</v>
      </c>
      <c r="B18" s="48" t="s">
        <v>282</v>
      </c>
      <c r="C18" s="106" t="n">
        <f aca="false">C14</f>
        <v>230</v>
      </c>
      <c r="D18" s="106" t="n">
        <f aca="false">D14</f>
        <v>289.2365</v>
      </c>
      <c r="E18" s="106" t="n">
        <f aca="false">E14</f>
        <v>387.37129</v>
      </c>
      <c r="F18" s="106" t="n">
        <f aca="false">F14</f>
        <v>507.6739354</v>
      </c>
      <c r="G18" s="106" t="n">
        <f aca="false">G14</f>
        <v>615.064933444</v>
      </c>
      <c r="H18" s="106" t="n">
        <f aca="false">H14</f>
        <v>763.19668784424</v>
      </c>
      <c r="I18" s="106" t="n">
        <f aca="false">I14</f>
        <v>1079.73668695502</v>
      </c>
      <c r="J18" s="106" t="n">
        <f aca="false">J14</f>
        <v>1408.00775726574</v>
      </c>
      <c r="K18" s="106" t="n">
        <f aca="false">K14</f>
        <v>1838.73835271323</v>
      </c>
      <c r="L18" s="106" t="n">
        <f aca="false">L14</f>
        <v>2253.39091867747</v>
      </c>
      <c r="M18" s="106" t="n">
        <f aca="false">M14</f>
        <v>2488.08600829102</v>
      </c>
    </row>
    <row r="19" customFormat="false" ht="15" hidden="false" customHeight="true" outlineLevel="0" collapsed="false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</row>
    <row r="20" customFormat="false" ht="23.25" hidden="false" customHeight="true" outlineLevel="0" collapsed="false">
      <c r="A20" s="107" t="s">
        <v>283</v>
      </c>
    </row>
    <row r="21" customFormat="false" ht="23.25" hidden="false" customHeight="true" outlineLevel="0" collapsed="false">
      <c r="A21" s="108" t="s">
        <v>284</v>
      </c>
      <c r="B21" s="109" t="s">
        <v>285</v>
      </c>
      <c r="C21" s="110" t="n">
        <v>0</v>
      </c>
      <c r="D21" s="110" t="n">
        <v>0</v>
      </c>
      <c r="E21" s="110" t="n">
        <v>0</v>
      </c>
      <c r="F21" s="110" t="n">
        <v>0</v>
      </c>
      <c r="G21" s="110" t="n">
        <v>0</v>
      </c>
      <c r="H21" s="110" t="n">
        <v>0</v>
      </c>
      <c r="I21" s="110" t="n">
        <v>0</v>
      </c>
      <c r="J21" s="110" t="n">
        <v>0</v>
      </c>
      <c r="K21" s="110" t="n">
        <v>0</v>
      </c>
      <c r="L21" s="110" t="n">
        <v>0</v>
      </c>
      <c r="M21" s="111" t="n">
        <f aca="false">-L4*0.3</f>
        <v>-293.920554610105</v>
      </c>
    </row>
    <row r="22" customFormat="false" ht="23.25" hidden="false" customHeight="true" outlineLevel="0" collapsed="false">
      <c r="A22" s="108" t="s">
        <v>286</v>
      </c>
      <c r="B22" s="109" t="s">
        <v>287</v>
      </c>
      <c r="C22" s="110" t="n">
        <v>0</v>
      </c>
      <c r="D22" s="110" t="n">
        <v>0</v>
      </c>
      <c r="E22" s="110" t="n">
        <v>0</v>
      </c>
      <c r="F22" s="110" t="n">
        <v>0</v>
      </c>
      <c r="G22" s="110" t="n">
        <v>0</v>
      </c>
      <c r="H22" s="110" t="n">
        <v>0</v>
      </c>
      <c r="I22" s="110" t="n">
        <v>0</v>
      </c>
      <c r="J22" s="110" t="n">
        <v>0</v>
      </c>
      <c r="K22" s="110" t="n">
        <v>0</v>
      </c>
      <c r="L22" s="110" t="n">
        <v>0</v>
      </c>
      <c r="M22" s="111" t="n">
        <f aca="false">-M12*0.02</f>
        <v>-0</v>
      </c>
    </row>
  </sheetData>
  <mergeCells count="6">
    <mergeCell ref="A1:M1"/>
    <mergeCell ref="A3:M3"/>
    <mergeCell ref="A8:M8"/>
    <mergeCell ref="A11:M11"/>
    <mergeCell ref="A15:M15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288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127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21.75" hidden="false" customHeight="true" outlineLevel="0" collapsed="false">
      <c r="A4" s="29" t="s">
        <v>289</v>
      </c>
      <c r="B4" s="30" t="s">
        <v>290</v>
      </c>
      <c r="C4" s="33" t="n">
        <f aca="false">ASSUMPTIONS!C46</f>
        <v>64</v>
      </c>
      <c r="D4" s="33" t="n">
        <f aca="false">C4+ASSUMPTIONS!D47</f>
        <v>79</v>
      </c>
      <c r="E4" s="33" t="n">
        <f aca="false">D4+ASSUMPTIONS!E47</f>
        <v>94</v>
      </c>
      <c r="F4" s="33" t="n">
        <f aca="false">E4+ASSUMPTIONS!F47</f>
        <v>114</v>
      </c>
      <c r="G4" s="33" t="n">
        <f aca="false">F4+ASSUMPTIONS!G47</f>
        <v>194</v>
      </c>
      <c r="H4" s="33" t="n">
        <f aca="false">G4+ASSUMPTIONS!H47</f>
        <v>186</v>
      </c>
      <c r="I4" s="33" t="n">
        <f aca="false">H4+ASSUMPTIONS!I47</f>
        <v>166</v>
      </c>
      <c r="J4" s="33" t="n">
        <f aca="false">I4+ASSUMPTIONS!J47</f>
        <v>141</v>
      </c>
      <c r="K4" s="33" t="n">
        <f aca="false">J4+ASSUMPTIONS!K47</f>
        <v>126</v>
      </c>
      <c r="L4" s="33" t="n">
        <f aca="false">K4+ASSUMPTIONS!L47</f>
        <v>118</v>
      </c>
      <c r="M4" s="33" t="n">
        <f aca="false">L4+ASSUMPTIONS!M47+ASSUMPTIONS!M49</f>
        <v>163</v>
      </c>
    </row>
    <row r="5" customFormat="false" ht="15" hidden="false" customHeight="true" outlineLevel="0" collapsed="false">
      <c r="A5" s="29" t="s">
        <v>291</v>
      </c>
      <c r="B5" s="34"/>
      <c r="C5" s="32" t="n">
        <v>80</v>
      </c>
      <c r="D5" s="33" t="n">
        <f aca="false">C5+ASSUMPTIONS!D44*0.55</f>
        <v>80</v>
      </c>
      <c r="E5" s="33" t="n">
        <f aca="false">D5+ASSUMPTIONS!E44*0.55</f>
        <v>80</v>
      </c>
      <c r="F5" s="33" t="n">
        <f aca="false">E5+ASSUMPTIONS!F44*0.55</f>
        <v>80</v>
      </c>
      <c r="G5" s="33" t="n">
        <f aca="false">F5+ASSUMPTIONS!G44*0.55</f>
        <v>80</v>
      </c>
      <c r="H5" s="33" t="n">
        <f aca="false">G5+ASSUMPTIONS!H44*0.55</f>
        <v>80</v>
      </c>
      <c r="I5" s="33" t="n">
        <f aca="false">H5+ASSUMPTIONS!I44*0.55</f>
        <v>80</v>
      </c>
      <c r="J5" s="33" t="n">
        <f aca="false">I5+ASSUMPTIONS!J44*0.55</f>
        <v>80</v>
      </c>
      <c r="K5" s="33" t="n">
        <f aca="false">J5+ASSUMPTIONS!K44*0.55</f>
        <v>80</v>
      </c>
      <c r="L5" s="33" t="n">
        <f aca="false">K5+ASSUMPTIONS!L44*0.55</f>
        <v>80</v>
      </c>
      <c r="M5" s="33" t="n">
        <f aca="false">L5+ASSUMPTIONS!M44*0.55</f>
        <v>80</v>
      </c>
    </row>
    <row r="6" customFormat="false" ht="15" hidden="false" customHeight="true" outlineLevel="0" collapsed="false">
      <c r="A6" s="35" t="s">
        <v>292</v>
      </c>
      <c r="B6" s="34"/>
      <c r="C6" s="33" t="n">
        <f aca="false">SUM(C4:C5)</f>
        <v>144</v>
      </c>
      <c r="D6" s="33" t="n">
        <f aca="false">SUM(D4:D5)</f>
        <v>159</v>
      </c>
      <c r="E6" s="33" t="n">
        <f aca="false">SUM(E4:E5)</f>
        <v>174</v>
      </c>
      <c r="F6" s="33" t="n">
        <f aca="false">SUM(F4:F5)</f>
        <v>194</v>
      </c>
      <c r="G6" s="33" t="n">
        <f aca="false">SUM(G4:G5)</f>
        <v>274</v>
      </c>
      <c r="H6" s="33" t="n">
        <f aca="false">SUM(H4:H5)</f>
        <v>266</v>
      </c>
      <c r="I6" s="33" t="n">
        <f aca="false">SUM(I4:I5)</f>
        <v>246</v>
      </c>
      <c r="J6" s="33" t="n">
        <f aca="false">SUM(J4:J5)</f>
        <v>221</v>
      </c>
      <c r="K6" s="33" t="n">
        <f aca="false">SUM(K4:K5)</f>
        <v>206</v>
      </c>
      <c r="L6" s="33" t="n">
        <f aca="false">SUM(L4:L5)</f>
        <v>198</v>
      </c>
      <c r="M6" s="33" t="n">
        <f aca="false">SUM(M4:M5)</f>
        <v>243</v>
      </c>
    </row>
    <row r="8" customFormat="false" ht="15" hidden="false" customHeight="true" outlineLevel="0" collapsed="false">
      <c r="A8" s="9" t="s">
        <v>133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customFormat="false" ht="21.75" hidden="false" customHeight="true" outlineLevel="0" collapsed="false">
      <c r="A9" s="36" t="s">
        <v>293</v>
      </c>
      <c r="B9" s="37" t="s">
        <v>294</v>
      </c>
      <c r="C9" s="41" t="n">
        <v>200</v>
      </c>
      <c r="D9" s="39" t="n">
        <f aca="false">C9+ASSUMPTIONS!D44+ASSUMPTIONS!D46</f>
        <v>200</v>
      </c>
      <c r="E9" s="39" t="n">
        <f aca="false">D9+ASSUMPTIONS!E44+ASSUMPTIONS!E46</f>
        <v>200</v>
      </c>
      <c r="F9" s="39" t="n">
        <f aca="false">E9+ASSUMPTIONS!F44+ASSUMPTIONS!F46</f>
        <v>200</v>
      </c>
      <c r="G9" s="39" t="n">
        <f aca="false">F9+ASSUMPTIONS!G44+ASSUMPTIONS!G46</f>
        <v>200</v>
      </c>
      <c r="H9" s="39" t="n">
        <f aca="false">G9+ASSUMPTIONS!H44+ASSUMPTIONS!H46</f>
        <v>200</v>
      </c>
      <c r="I9" s="39" t="n">
        <f aca="false">H9+ASSUMPTIONS!I44+ASSUMPTIONS!I46</f>
        <v>200</v>
      </c>
      <c r="J9" s="39" t="n">
        <f aca="false">I9+ASSUMPTIONS!J44+ASSUMPTIONS!J46</f>
        <v>200</v>
      </c>
      <c r="K9" s="39" t="n">
        <f aca="false">J9+ASSUMPTIONS!K44+ASSUMPTIONS!K46</f>
        <v>200</v>
      </c>
      <c r="L9" s="39" t="n">
        <f aca="false">K9+ASSUMPTIONS!L44+ASSUMPTIONS!L46</f>
        <v>200</v>
      </c>
      <c r="M9" s="39" t="n">
        <f aca="false">L9+ASSUMPTIONS!M44+ASSUMPTIONS!M46</f>
        <v>200</v>
      </c>
    </row>
    <row r="10" customFormat="false" ht="15" hidden="false" customHeight="true" outlineLevel="0" collapsed="false">
      <c r="A10" s="36" t="s">
        <v>295</v>
      </c>
      <c r="B10" s="40"/>
      <c r="C10" s="41" t="n">
        <v>150</v>
      </c>
      <c r="D10" s="39" t="n">
        <f aca="false">C10*1.04</f>
        <v>156</v>
      </c>
      <c r="E10" s="39" t="n">
        <f aca="false">D10*1.04</f>
        <v>162.24</v>
      </c>
      <c r="F10" s="39" t="n">
        <f aca="false">E10*1.04</f>
        <v>168.7296</v>
      </c>
      <c r="G10" s="39" t="n">
        <f aca="false">F10*1.04</f>
        <v>175.478784</v>
      </c>
      <c r="H10" s="39" t="n">
        <f aca="false">G10*1.04</f>
        <v>182.49793536</v>
      </c>
      <c r="I10" s="39" t="n">
        <f aca="false">H10*1.04</f>
        <v>189.7978527744</v>
      </c>
      <c r="J10" s="39" t="n">
        <f aca="false">I10*1.04</f>
        <v>197.389766885376</v>
      </c>
      <c r="K10" s="39" t="n">
        <f aca="false">J10*1.04</f>
        <v>205.285357560791</v>
      </c>
      <c r="L10" s="39" t="n">
        <f aca="false">K10*1.04</f>
        <v>213.496771863223</v>
      </c>
      <c r="M10" s="39" t="n">
        <f aca="false">L10*1.04</f>
        <v>222.036642737752</v>
      </c>
    </row>
    <row r="11" customFormat="false" ht="21.75" hidden="false" customHeight="true" outlineLevel="0" collapsed="false">
      <c r="A11" s="36" t="s">
        <v>296</v>
      </c>
      <c r="B11" s="37" t="s">
        <v>297</v>
      </c>
      <c r="C11" s="41" t="n">
        <v>0</v>
      </c>
      <c r="D11" s="41" t="n">
        <v>300</v>
      </c>
      <c r="E11" s="41" t="n">
        <v>300</v>
      </c>
      <c r="F11" s="41" t="n">
        <v>300</v>
      </c>
      <c r="G11" s="41" t="n">
        <v>200</v>
      </c>
      <c r="H11" s="41" t="n">
        <v>2500</v>
      </c>
      <c r="I11" s="41" t="n">
        <v>2000</v>
      </c>
      <c r="J11" s="41" t="n">
        <v>1500</v>
      </c>
      <c r="K11" s="41" t="n">
        <v>700</v>
      </c>
      <c r="L11" s="41" t="n">
        <v>300</v>
      </c>
      <c r="M11" s="41" t="n">
        <v>300</v>
      </c>
    </row>
    <row r="13" customFormat="false" ht="15" hidden="false" customHeight="true" outlineLevel="0" collapsed="false">
      <c r="A13" s="46" t="s">
        <v>147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customFormat="false" ht="21.75" hidden="false" customHeight="true" outlineLevel="0" collapsed="false">
      <c r="A14" s="47" t="s">
        <v>298</v>
      </c>
      <c r="B14" s="48" t="s">
        <v>299</v>
      </c>
      <c r="C14" s="50" t="n">
        <f aca="false">C6/ASSUMPTIONS!C5</f>
        <v>0.514285714285714</v>
      </c>
      <c r="D14" s="50" t="n">
        <f aca="false">D6/ASSUMPTIONS!D5</f>
        <v>0.554006968641115</v>
      </c>
      <c r="E14" s="50" t="n">
        <f aca="false">E6/ASSUMPTIONS!E5</f>
        <v>0.591836734693878</v>
      </c>
      <c r="F14" s="50" t="n">
        <f aca="false">F6/ASSUMPTIONS!F5</f>
        <v>0.642384105960265</v>
      </c>
      <c r="G14" s="50" t="n">
        <f aca="false">G6/ASSUMPTIONS!G5</f>
        <v>0.951388888888889</v>
      </c>
      <c r="H14" s="50" t="n">
        <f aca="false">H6/ASSUMPTIONS!H5</f>
        <v>0.886666666666667</v>
      </c>
      <c r="I14" s="50" t="n">
        <f aca="false">I6/ASSUMPTIONS!I5</f>
        <v>0.798701298701299</v>
      </c>
      <c r="J14" s="50" t="n">
        <f aca="false">J6/ASSUMPTIONS!J5</f>
        <v>0.701587301587302</v>
      </c>
      <c r="K14" s="50" t="n">
        <f aca="false">K6/ASSUMPTIONS!K5</f>
        <v>0.64375</v>
      </c>
      <c r="L14" s="50" t="n">
        <f aca="false">L6/ASSUMPTIONS!L5</f>
        <v>0.622641509433962</v>
      </c>
      <c r="M14" s="50" t="n">
        <f aca="false">M6/ASSUMPTIONS!M5</f>
        <v>0.81</v>
      </c>
    </row>
    <row r="15" customFormat="false" ht="23.25" hidden="false" customHeight="true" outlineLevel="0" collapsed="false">
      <c r="A15" s="47" t="s">
        <v>300</v>
      </c>
      <c r="B15" s="48" t="s">
        <v>301</v>
      </c>
      <c r="C15" s="71" t="n">
        <f aca="false">ASSUMPTIONS!C5*ASSUMPTIONS!C48-C6</f>
        <v>220</v>
      </c>
      <c r="D15" s="71" t="n">
        <f aca="false">ASSUMPTIONS!D5*ASSUMPTIONS!D48-D6</f>
        <v>214.1</v>
      </c>
      <c r="E15" s="71" t="n">
        <f aca="false">ASSUMPTIONS!E5*ASSUMPTIONS!E48-E6</f>
        <v>208.2</v>
      </c>
      <c r="F15" s="71" t="n">
        <f aca="false">ASSUMPTIONS!F5*ASSUMPTIONS!F48-F6</f>
        <v>198.6</v>
      </c>
      <c r="G15" s="71" t="n">
        <f aca="false">ASSUMPTIONS!G5*ASSUMPTIONS!G48-G6</f>
        <v>100.4</v>
      </c>
      <c r="H15" s="71" t="n">
        <f aca="false">ASSUMPTIONS!H5*ASSUMPTIONS!H48-H6</f>
        <v>124</v>
      </c>
      <c r="I15" s="71" t="n">
        <f aca="false">ASSUMPTIONS!I5*ASSUMPTIONS!I48-I6</f>
        <v>154.4</v>
      </c>
      <c r="J15" s="71" t="n">
        <f aca="false">ASSUMPTIONS!J5*ASSUMPTIONS!J48-J6</f>
        <v>188.5</v>
      </c>
      <c r="K15" s="71" t="n">
        <f aca="false">ASSUMPTIONS!K5*ASSUMPTIONS!K48-K6</f>
        <v>210</v>
      </c>
      <c r="L15" s="71" t="n">
        <f aca="false">ASSUMPTIONS!L5*ASSUMPTIONS!L48-L6</f>
        <v>215.4</v>
      </c>
      <c r="M15" s="71" t="n">
        <f aca="false">ASSUMPTIONS!M5*ASSUMPTIONS!M48-M6</f>
        <v>147</v>
      </c>
    </row>
    <row r="17" customFormat="false" ht="15" hidden="false" customHeight="true" outlineLevel="0" collapsed="false">
      <c r="A17" s="112" t="s">
        <v>302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</row>
    <row r="18" customFormat="false" ht="23.25" hidden="false" customHeight="true" outlineLevel="0" collapsed="false">
      <c r="A18" s="108" t="s">
        <v>303</v>
      </c>
      <c r="B18" s="109" t="s">
        <v>304</v>
      </c>
      <c r="C18" s="113" t="n">
        <v>0</v>
      </c>
      <c r="D18" s="113" t="n">
        <v>0</v>
      </c>
      <c r="E18" s="113" t="n">
        <v>0</v>
      </c>
      <c r="F18" s="113" t="n">
        <v>0</v>
      </c>
      <c r="G18" s="113" t="n">
        <v>0</v>
      </c>
      <c r="H18" s="113" t="n">
        <v>0</v>
      </c>
      <c r="I18" s="113" t="n">
        <v>0</v>
      </c>
      <c r="J18" s="113" t="n">
        <v>0</v>
      </c>
      <c r="K18" s="113" t="n">
        <v>0</v>
      </c>
      <c r="L18" s="113" t="n">
        <v>0</v>
      </c>
      <c r="M18" s="114" t="n">
        <f aca="false">ASSUMPTIONS!M49</f>
        <v>45</v>
      </c>
    </row>
  </sheetData>
  <mergeCells count="5">
    <mergeCell ref="A1:M1"/>
    <mergeCell ref="A3:M3"/>
    <mergeCell ref="A8:M8"/>
    <mergeCell ref="A13:M13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4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115" t="s">
        <v>305</v>
      </c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19" t="s">
        <v>306</v>
      </c>
    </row>
    <row r="4" customFormat="false" ht="26.25" hidden="false" customHeight="true" outlineLevel="0" collapsed="false">
      <c r="A4" s="116" t="s">
        <v>307</v>
      </c>
      <c r="B4" s="116" t="s">
        <v>308</v>
      </c>
      <c r="C4" s="117" t="s">
        <v>41</v>
      </c>
      <c r="D4" s="117" t="s">
        <v>42</v>
      </c>
      <c r="E4" s="117" t="s">
        <v>43</v>
      </c>
      <c r="F4" s="117" t="s">
        <v>44</v>
      </c>
      <c r="G4" s="117" t="s">
        <v>45</v>
      </c>
      <c r="H4" s="117" t="s">
        <v>46</v>
      </c>
      <c r="I4" s="117" t="s">
        <v>47</v>
      </c>
      <c r="J4" s="117" t="s">
        <v>48</v>
      </c>
      <c r="K4" s="117" t="s">
        <v>49</v>
      </c>
      <c r="L4" s="117" t="s">
        <v>50</v>
      </c>
      <c r="M4" s="117" t="s">
        <v>51</v>
      </c>
    </row>
    <row r="5" customFormat="false" ht="21.75" hidden="false" customHeight="true" outlineLevel="0" collapsed="false">
      <c r="A5" s="118" t="s">
        <v>309</v>
      </c>
      <c r="B5" s="119" t="s">
        <v>310</v>
      </c>
      <c r="C5" s="120" t="n">
        <f aca="false">JapanCo!C5-(GlobalBankCo!C12)</f>
        <v>0</v>
      </c>
      <c r="D5" s="120" t="n">
        <f aca="false">JapanCo!D5-(GlobalBankCo!D12)</f>
        <v>0</v>
      </c>
      <c r="E5" s="120" t="n">
        <f aca="false">JapanCo!E5-(GlobalBankCo!E12)</f>
        <v>0</v>
      </c>
      <c r="F5" s="120" t="n">
        <f aca="false">JapanCo!F5-(GlobalBankCo!F12)</f>
        <v>0</v>
      </c>
      <c r="G5" s="120" t="n">
        <f aca="false">JapanCo!G5-(GlobalBankCo!G12)</f>
        <v>0</v>
      </c>
      <c r="H5" s="120" t="n">
        <f aca="false">JapanCo!H5-(GlobalBankCo!H12)</f>
        <v>0</v>
      </c>
      <c r="I5" s="120" t="n">
        <f aca="false">JapanCo!I5-(GlobalBankCo!I12)</f>
        <v>0</v>
      </c>
      <c r="J5" s="120" t="n">
        <f aca="false">JapanCo!J5-(GlobalBankCo!J12)</f>
        <v>0</v>
      </c>
      <c r="K5" s="120" t="n">
        <f aca="false">JapanCo!K5-(GlobalBankCo!K12)</f>
        <v>0</v>
      </c>
      <c r="L5" s="120" t="n">
        <f aca="false">JapanCo!L5-(GlobalBankCo!L12)</f>
        <v>0</v>
      </c>
      <c r="M5" s="120" t="n">
        <f aca="false">JapanCo!M5-(GlobalBankCo!M12)</f>
        <v>0</v>
      </c>
    </row>
    <row r="6" customFormat="false" ht="23.25" hidden="false" customHeight="true" outlineLevel="0" collapsed="false">
      <c r="A6" s="118" t="s">
        <v>311</v>
      </c>
      <c r="B6" s="119" t="s">
        <v>312</v>
      </c>
      <c r="C6" s="120" t="n">
        <f aca="false">CommodityCo!C4-(GlobalBankCo!C13)</f>
        <v>0</v>
      </c>
      <c r="D6" s="120" t="n">
        <f aca="false">CommodityCo!D4-(GlobalBankCo!D13)</f>
        <v>0</v>
      </c>
      <c r="E6" s="120" t="n">
        <f aca="false">CommodityCo!E4-(GlobalBankCo!E13)</f>
        <v>0</v>
      </c>
      <c r="F6" s="120" t="n">
        <f aca="false">CommodityCo!F4-(GlobalBankCo!F13)</f>
        <v>0</v>
      </c>
      <c r="G6" s="120" t="n">
        <f aca="false">CommodityCo!G4-(GlobalBankCo!G13)</f>
        <v>0</v>
      </c>
      <c r="H6" s="120" t="n">
        <f aca="false">CommodityCo!H4-(GlobalBankCo!H13)</f>
        <v>0</v>
      </c>
      <c r="I6" s="120" t="n">
        <f aca="false">CommodityCo!I4-(GlobalBankCo!I13)</f>
        <v>0</v>
      </c>
      <c r="J6" s="120" t="n">
        <f aca="false">CommodityCo!J4-(GlobalBankCo!J13)</f>
        <v>0</v>
      </c>
      <c r="K6" s="120" t="n">
        <f aca="false">CommodityCo!K4-(GlobalBankCo!K13)</f>
        <v>0</v>
      </c>
      <c r="L6" s="120" t="n">
        <f aca="false">CommodityCo!L4-(GlobalBankCo!L13)</f>
        <v>0</v>
      </c>
      <c r="M6" s="120" t="n">
        <f aca="false">CommodityCo!M4-(GlobalBankCo!M13)</f>
        <v>0</v>
      </c>
    </row>
    <row r="7" customFormat="false" ht="15" hidden="false" customHeight="true" outlineLevel="0" collapsed="false">
      <c r="A7" s="118" t="s">
        <v>313</v>
      </c>
      <c r="B7" s="119" t="s">
        <v>314</v>
      </c>
      <c r="C7" s="120" t="n">
        <f aca="false">GlobalBankCo!C4-(RepoCo!C10)</f>
        <v>0</v>
      </c>
      <c r="D7" s="120" t="n">
        <f aca="false">GlobalBankCo!D4-(RepoCo!D10)</f>
        <v>0</v>
      </c>
      <c r="E7" s="120" t="n">
        <f aca="false">GlobalBankCo!E4-(RepoCo!E10)</f>
        <v>0</v>
      </c>
      <c r="F7" s="120" t="n">
        <f aca="false">GlobalBankCo!F4-(RepoCo!F10)</f>
        <v>0</v>
      </c>
      <c r="G7" s="120" t="n">
        <f aca="false">GlobalBankCo!G4-(RepoCo!G10)</f>
        <v>0</v>
      </c>
      <c r="H7" s="120" t="n">
        <f aca="false">GlobalBankCo!H4-(RepoCo!H10)</f>
        <v>0</v>
      </c>
      <c r="I7" s="120" t="n">
        <f aca="false">GlobalBankCo!I4-(RepoCo!I10)</f>
        <v>0</v>
      </c>
      <c r="J7" s="120" t="n">
        <f aca="false">GlobalBankCo!J4-(RepoCo!J10)</f>
        <v>0</v>
      </c>
      <c r="K7" s="120" t="n">
        <f aca="false">GlobalBankCo!K4-(RepoCo!K10)</f>
        <v>0</v>
      </c>
      <c r="L7" s="120" t="n">
        <f aca="false">GlobalBankCo!L4-(RepoCo!L10)</f>
        <v>0</v>
      </c>
      <c r="M7" s="120" t="n">
        <f aca="false">GlobalBankCo!M4-(RepoCo!M10)</f>
        <v>0</v>
      </c>
    </row>
    <row r="8" customFormat="false" ht="15" hidden="false" customHeight="true" outlineLevel="0" collapsed="false">
      <c r="A8" s="118" t="s">
        <v>315</v>
      </c>
      <c r="B8" s="119" t="s">
        <v>316</v>
      </c>
      <c r="C8" s="120" t="n">
        <f aca="false">RepoCo!C5-(HedgeCo!C10)</f>
        <v>0</v>
      </c>
      <c r="D8" s="120" t="n">
        <f aca="false">RepoCo!D5-(HedgeCo!D10)</f>
        <v>0</v>
      </c>
      <c r="E8" s="120" t="n">
        <f aca="false">RepoCo!E5-(HedgeCo!E10)</f>
        <v>0</v>
      </c>
      <c r="F8" s="120" t="n">
        <f aca="false">RepoCo!F5-(HedgeCo!F10)</f>
        <v>0</v>
      </c>
      <c r="G8" s="120" t="n">
        <f aca="false">RepoCo!G5-(HedgeCo!G10)</f>
        <v>0</v>
      </c>
      <c r="H8" s="120" t="n">
        <f aca="false">RepoCo!H5-(HedgeCo!H10)</f>
        <v>0</v>
      </c>
      <c r="I8" s="120" t="n">
        <f aca="false">RepoCo!I5-(HedgeCo!I10)</f>
        <v>0</v>
      </c>
      <c r="J8" s="120" t="n">
        <f aca="false">RepoCo!J5-(HedgeCo!J10)</f>
        <v>0</v>
      </c>
      <c r="K8" s="120" t="n">
        <f aca="false">RepoCo!K5-(HedgeCo!K10)</f>
        <v>0</v>
      </c>
      <c r="L8" s="120" t="n">
        <f aca="false">RepoCo!L5-(HedgeCo!L10)</f>
        <v>0</v>
      </c>
      <c r="M8" s="120" t="n">
        <f aca="false">RepoCo!M5-(HedgeCo!M10)</f>
        <v>0</v>
      </c>
    </row>
    <row r="9" customFormat="false" ht="23.25" hidden="false" customHeight="true" outlineLevel="0" collapsed="false">
      <c r="A9" s="118" t="s">
        <v>317</v>
      </c>
      <c r="B9" s="119" t="s">
        <v>318</v>
      </c>
      <c r="C9" s="121" t="n">
        <f aca="false">HedgeCo!C4-(RepoCo!C5)</f>
        <v>0</v>
      </c>
      <c r="D9" s="121" t="n">
        <f aca="false">HedgeCo!D4-(RepoCo!D5)</f>
        <v>0</v>
      </c>
      <c r="E9" s="121" t="n">
        <f aca="false">HedgeCo!E4-(RepoCo!E5)</f>
        <v>0</v>
      </c>
      <c r="F9" s="121" t="n">
        <f aca="false">HedgeCo!F4-(RepoCo!F5)</f>
        <v>0</v>
      </c>
      <c r="G9" s="121" t="n">
        <f aca="false">HedgeCo!G4-(RepoCo!G5)</f>
        <v>0</v>
      </c>
      <c r="H9" s="121" t="n">
        <f aca="false">HedgeCo!H4-(RepoCo!H5)</f>
        <v>0</v>
      </c>
      <c r="I9" s="121" t="n">
        <f aca="false">HedgeCo!I4-(RepoCo!I5)</f>
        <v>0</v>
      </c>
      <c r="J9" s="121" t="n">
        <f aca="false">HedgeCo!J4-(RepoCo!J5)</f>
        <v>0</v>
      </c>
      <c r="K9" s="121" t="n">
        <f aca="false">HedgeCo!K4-(RepoCo!K5)</f>
        <v>0</v>
      </c>
      <c r="L9" s="121" t="n">
        <f aca="false">HedgeCo!L4-(RepoCo!L5)</f>
        <v>0</v>
      </c>
      <c r="M9" s="121" t="n">
        <f aca="false">HedgeCo!M4-(RepoCo!M5)</f>
        <v>0</v>
      </c>
    </row>
    <row r="10" customFormat="false" ht="23.25" hidden="false" customHeight="true" outlineLevel="0" collapsed="false">
      <c r="A10" s="118" t="s">
        <v>319</v>
      </c>
      <c r="B10" s="119" t="s">
        <v>320</v>
      </c>
      <c r="C10" s="120" t="n">
        <f aca="false">CommodityCo!C14-(JapanCo!C7)</f>
        <v>0</v>
      </c>
      <c r="D10" s="120" t="n">
        <f aca="false">CommodityCo!D14-(JapanCo!D7)</f>
        <v>0</v>
      </c>
      <c r="E10" s="120" t="n">
        <f aca="false">CommodityCo!E14-(JapanCo!E7)</f>
        <v>0</v>
      </c>
      <c r="F10" s="120" t="n">
        <f aca="false">CommodityCo!F14-(JapanCo!F7)</f>
        <v>0</v>
      </c>
      <c r="G10" s="120" t="n">
        <f aca="false">CommodityCo!G14-(JapanCo!G7)</f>
        <v>0</v>
      </c>
      <c r="H10" s="120" t="n">
        <f aca="false">CommodityCo!H14-(JapanCo!H7)</f>
        <v>0</v>
      </c>
      <c r="I10" s="120" t="n">
        <f aca="false">CommodityCo!I14-(JapanCo!I7)</f>
        <v>0</v>
      </c>
      <c r="J10" s="120" t="n">
        <f aca="false">CommodityCo!J14-(JapanCo!J7)</f>
        <v>0</v>
      </c>
      <c r="K10" s="120" t="n">
        <f aca="false">CommodityCo!K14-(JapanCo!K7)</f>
        <v>0</v>
      </c>
      <c r="L10" s="120" t="n">
        <f aca="false">CommodityCo!L14-(JapanCo!L7)</f>
        <v>0</v>
      </c>
      <c r="M10" s="120" t="n">
        <f aca="false">CommodityCo!M14-(JapanCo!M7)</f>
        <v>0</v>
      </c>
    </row>
    <row r="11" customFormat="false" ht="21.75" hidden="false" customHeight="true" outlineLevel="0" collapsed="false">
      <c r="A11" s="118" t="s">
        <v>321</v>
      </c>
      <c r="B11" s="119" t="s">
        <v>322</v>
      </c>
      <c r="C11" s="120" t="n">
        <f aca="false">FedCo!C4-ASSUMPTIONS!C46</f>
        <v>0</v>
      </c>
      <c r="D11" s="120" t="n">
        <v>0</v>
      </c>
      <c r="E11" s="120" t="n">
        <v>0</v>
      </c>
      <c r="F11" s="120" t="n">
        <v>0</v>
      </c>
      <c r="G11" s="120" t="n">
        <v>0</v>
      </c>
      <c r="H11" s="120" t="n">
        <v>0</v>
      </c>
      <c r="I11" s="120" t="n">
        <v>0</v>
      </c>
      <c r="J11" s="120" t="n">
        <v>0</v>
      </c>
      <c r="K11" s="120" t="n">
        <v>0</v>
      </c>
      <c r="L11" s="120" t="n">
        <v>0</v>
      </c>
      <c r="M11" s="120" t="n">
        <v>0</v>
      </c>
    </row>
    <row r="12" customFormat="false" ht="15" hidden="false" customHeight="true" outlineLevel="0" collapsed="false">
      <c r="A12" s="74" t="s">
        <v>323</v>
      </c>
      <c r="C12" s="122" t="n">
        <f aca="false">CommodityCo!C9-GlobalBankCo!C14</f>
        <v>0</v>
      </c>
      <c r="D12" s="122" t="n">
        <f aca="false">CommodityCo!D9-GlobalBankCo!D14</f>
        <v>0</v>
      </c>
      <c r="E12" s="122" t="n">
        <f aca="false">CommodityCo!E9-GlobalBankCo!E14</f>
        <v>0</v>
      </c>
      <c r="F12" s="122" t="n">
        <f aca="false">CommodityCo!F9-GlobalBankCo!F14</f>
        <v>0</v>
      </c>
      <c r="G12" s="122" t="n">
        <f aca="false">CommodityCo!G9-GlobalBankCo!G14</f>
        <v>0</v>
      </c>
      <c r="H12" s="122" t="n">
        <f aca="false">CommodityCo!H9-GlobalBankCo!H14</f>
        <v>0</v>
      </c>
      <c r="I12" s="122" t="n">
        <f aca="false">CommodityCo!I9-GlobalBankCo!I14</f>
        <v>0</v>
      </c>
      <c r="J12" s="122" t="n">
        <f aca="false">CommodityCo!J9-GlobalBankCo!J14</f>
        <v>0</v>
      </c>
      <c r="K12" s="122" t="n">
        <f aca="false">CommodityCo!K9-GlobalBankCo!K14</f>
        <v>0</v>
      </c>
      <c r="L12" s="122" t="n">
        <f aca="false">CommodityCo!L9-GlobalBankCo!L14</f>
        <v>0</v>
      </c>
      <c r="M12" s="122" t="n">
        <f aca="false">CommodityCo!M9-GlobalBankCo!M14</f>
        <v>0</v>
      </c>
    </row>
    <row r="13" customFormat="false" ht="15" hidden="false" customHeight="true" outlineLevel="0" collapsed="false">
      <c r="A13" s="74" t="s">
        <v>324</v>
      </c>
      <c r="C13" s="123" t="n">
        <f aca="false">GlobalBankCo!C5-RepoCo!C6</f>
        <v>0</v>
      </c>
      <c r="D13" s="123" t="n">
        <f aca="false">GlobalBankCo!D5-RepoCo!D6</f>
        <v>0</v>
      </c>
      <c r="E13" s="123" t="n">
        <f aca="false">GlobalBankCo!E5-RepoCo!E6</f>
        <v>0</v>
      </c>
      <c r="F13" s="123" t="n">
        <f aca="false">GlobalBankCo!F5-RepoCo!F6</f>
        <v>0</v>
      </c>
      <c r="G13" s="123" t="n">
        <f aca="false">GlobalBankCo!G5-RepoCo!G6</f>
        <v>0</v>
      </c>
      <c r="H13" s="123" t="n">
        <f aca="false">GlobalBankCo!H5-RepoCo!H6</f>
        <v>0</v>
      </c>
      <c r="I13" s="123" t="n">
        <f aca="false">GlobalBankCo!I5-RepoCo!I6</f>
        <v>0</v>
      </c>
      <c r="J13" s="123" t="n">
        <f aca="false">GlobalBankCo!J5-RepoCo!J6</f>
        <v>0</v>
      </c>
      <c r="K13" s="123" t="n">
        <f aca="false">GlobalBankCo!K5-RepoCo!K6</f>
        <v>0</v>
      </c>
      <c r="L13" s="123" t="n">
        <f aca="false">GlobalBankCo!L5-RepoCo!L6</f>
        <v>0</v>
      </c>
      <c r="M13" s="123" t="n">
        <f aca="false">GlobalBankCo!M5-RepoCo!M6</f>
        <v>0</v>
      </c>
    </row>
    <row r="14" customFormat="false" ht="15" hidden="false" customHeight="true" outlineLevel="0" collapsed="false">
      <c r="A14" s="74" t="s">
        <v>325</v>
      </c>
      <c r="C14" s="122" t="n">
        <f aca="false">RepoCo!C6-HedgeCo!C5</f>
        <v>0</v>
      </c>
      <c r="D14" s="122" t="n">
        <f aca="false">RepoCo!D6-HedgeCo!D5</f>
        <v>0</v>
      </c>
      <c r="E14" s="122" t="n">
        <f aca="false">RepoCo!E6-HedgeCo!E5</f>
        <v>0</v>
      </c>
      <c r="F14" s="122" t="n">
        <f aca="false">RepoCo!F6-HedgeCo!F5</f>
        <v>0</v>
      </c>
      <c r="G14" s="122" t="n">
        <f aca="false">RepoCo!G6-HedgeCo!G5</f>
        <v>0</v>
      </c>
      <c r="H14" s="122" t="n">
        <f aca="false">RepoCo!H6-HedgeCo!H5</f>
        <v>0</v>
      </c>
      <c r="I14" s="122" t="n">
        <f aca="false">RepoCo!I6-HedgeCo!I5</f>
        <v>0</v>
      </c>
      <c r="J14" s="122" t="n">
        <f aca="false">RepoCo!J6-HedgeCo!J5</f>
        <v>0</v>
      </c>
      <c r="K14" s="122" t="n">
        <f aca="false">RepoCo!K6-HedgeCo!K5</f>
        <v>0</v>
      </c>
      <c r="L14" s="122" t="n">
        <f aca="false">RepoCo!L6-HedgeCo!L5</f>
        <v>0</v>
      </c>
      <c r="M14" s="122" t="n">
        <f aca="false">RepoCo!M6-HedgeCo!M5</f>
        <v>0</v>
      </c>
    </row>
    <row r="15" customFormat="false" ht="15" hidden="false" customHeight="true" outlineLevel="0" collapsed="false">
      <c r="A15" s="124" t="s">
        <v>326</v>
      </c>
      <c r="C15" s="123" t="n">
        <f aca="false">ClearCo!C11</f>
        <v>0</v>
      </c>
      <c r="D15" s="123" t="n">
        <f aca="false">ClearCo!D11</f>
        <v>0</v>
      </c>
      <c r="E15" s="123" t="n">
        <f aca="false">ClearCo!E11</f>
        <v>0</v>
      </c>
      <c r="F15" s="123" t="n">
        <f aca="false">ClearCo!F11</f>
        <v>0</v>
      </c>
      <c r="G15" s="123" t="n">
        <f aca="false">ClearCo!G11</f>
        <v>0</v>
      </c>
      <c r="H15" s="123" t="n">
        <f aca="false">ClearCo!H11</f>
        <v>0</v>
      </c>
      <c r="I15" s="123" t="n">
        <f aca="false">ClearCo!I11</f>
        <v>0</v>
      </c>
      <c r="J15" s="123" t="n">
        <f aca="false">ClearCo!J11</f>
        <v>0</v>
      </c>
      <c r="K15" s="123" t="n">
        <f aca="false">ClearCo!K11</f>
        <v>0</v>
      </c>
      <c r="L15" s="123" t="n">
        <f aca="false">ClearCo!L11</f>
        <v>0</v>
      </c>
      <c r="M15" s="123" t="n">
        <f aca="false">ClearCo!M11</f>
        <v>0</v>
      </c>
    </row>
    <row r="16" customFormat="false" ht="15" hidden="false" customHeight="true" outlineLevel="0" collapsed="false">
      <c r="A16" s="19" t="s">
        <v>327</v>
      </c>
    </row>
    <row r="17" customFormat="false" ht="15" hidden="false" customHeight="true" outlineLevel="0" collapsed="false">
      <c r="A17" s="125" t="s">
        <v>328</v>
      </c>
      <c r="C17" s="126" t="n">
        <f aca="false">SUMPRODUCT((ISNUMBER(C5:C15))*(ABS(IF(ISNUMBER(C5:C15),C5:C15,0))&gt;0.01))</f>
        <v>0</v>
      </c>
      <c r="D17" s="126" t="n">
        <f aca="false">SUMPRODUCT((ISNUMBER(D5:D15))*(ABS(IF(ISNUMBER(D5:D15),D5:D15,0))&gt;0.01))</f>
        <v>0</v>
      </c>
      <c r="E17" s="126" t="n">
        <f aca="false">SUMPRODUCT((ISNUMBER(E5:E15))*(ABS(IF(ISNUMBER(E5:E15),E5:E15,0))&gt;0.01))</f>
        <v>0</v>
      </c>
      <c r="F17" s="126" t="n">
        <f aca="false">SUMPRODUCT((ISNUMBER(F5:F15))*(ABS(IF(ISNUMBER(F5:F15),F5:F15,0))&gt;0.01))</f>
        <v>0</v>
      </c>
      <c r="G17" s="126" t="n">
        <f aca="false">SUMPRODUCT((ISNUMBER(G5:G15))*(ABS(IF(ISNUMBER(G5:G15),G5:G15,0))&gt;0.01))</f>
        <v>0</v>
      </c>
      <c r="H17" s="126" t="n">
        <f aca="false">SUMPRODUCT((ISNUMBER(H5:H15))*(ABS(IF(ISNUMBER(H5:H15),H5:H15,0))&gt;0.01))</f>
        <v>0</v>
      </c>
      <c r="I17" s="126" t="n">
        <f aca="false">SUMPRODUCT((ISNUMBER(I5:I15))*(ABS(IF(ISNUMBER(I5:I15),I5:I15,0))&gt;0.01))</f>
        <v>0</v>
      </c>
      <c r="J17" s="126" t="n">
        <f aca="false">SUMPRODUCT((ISNUMBER(J5:J15))*(ABS(IF(ISNUMBER(J5:J15),J5:J15,0))&gt;0.01))</f>
        <v>0</v>
      </c>
      <c r="K17" s="126" t="n">
        <f aca="false">SUMPRODUCT((ISNUMBER(K5:K15))*(ABS(IF(ISNUMBER(K5:K15),K5:K15,0))&gt;0.01))</f>
        <v>0</v>
      </c>
      <c r="L17" s="126" t="n">
        <f aca="false">SUMPRODUCT((ISNUMBER(L5:L15))*(ABS(IF(ISNUMBER(L5:L15),L5:L15,0))&gt;0.01))</f>
        <v>0</v>
      </c>
      <c r="M17" s="126" t="n">
        <f aca="false">SUMPRODUCT((ISNUMBER(M5:M15))*(ABS(IF(ISNUMBER(M5:M15),M5:M15,0))&gt;0.01))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13" min="3" style="1" width="9"/>
  </cols>
  <sheetData>
    <row r="1" customFormat="false" ht="21.75" hidden="false" customHeight="true" outlineLevel="0" collapsed="false">
      <c r="A1" s="28" t="s">
        <v>329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27.7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</row>
    <row r="3" customFormat="false" ht="15" hidden="false" customHeight="true" outlineLevel="0" collapsed="false">
      <c r="A3" s="9" t="s">
        <v>330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127" t="s">
        <v>331</v>
      </c>
      <c r="B4" s="48" t="s">
        <v>332</v>
      </c>
      <c r="C4" s="128" t="n">
        <f aca="false">GlobalBankCo!C20</f>
        <v>0.4</v>
      </c>
      <c r="D4" s="128" t="n">
        <f aca="false">GlobalBankCo!D20</f>
        <v>0.460856427179834</v>
      </c>
      <c r="E4" s="128" t="n">
        <f aca="false">GlobalBankCo!E20</f>
        <v>0.541525676825456</v>
      </c>
      <c r="F4" s="128" t="n">
        <f aca="false">GlobalBankCo!F20</f>
        <v>0.597772465432741</v>
      </c>
      <c r="G4" s="128" t="n">
        <f aca="false">GlobalBankCo!G20</f>
        <v>0.629725869480518</v>
      </c>
      <c r="H4" s="128" t="n">
        <f aca="false">GlobalBankCo!H20</f>
        <v>0.641878178721838</v>
      </c>
      <c r="I4" s="128" t="n">
        <f aca="false">GlobalBankCo!I20</f>
        <v>0.613131431022293</v>
      </c>
      <c r="J4" s="128" t="n">
        <f aca="false">GlobalBankCo!J20</f>
        <v>0.530214053259011</v>
      </c>
      <c r="K4" s="128" t="n">
        <f aca="false">GlobalBankCo!K20</f>
        <v>0.498885824971458</v>
      </c>
      <c r="L4" s="128" t="n">
        <f aca="false">GlobalBankCo!L20</f>
        <v>0.491964572507746</v>
      </c>
      <c r="M4" s="128" t="n">
        <f aca="false">GlobalBankCo!M20</f>
        <v>0.508411458965784</v>
      </c>
    </row>
    <row r="5" customFormat="false" ht="21.75" hidden="false" customHeight="true" outlineLevel="0" collapsed="false">
      <c r="A5" s="118"/>
      <c r="B5" s="119" t="s">
        <v>333</v>
      </c>
    </row>
    <row r="6" customFormat="false" ht="21.75" hidden="false" customHeight="true" outlineLevel="0" collapsed="false">
      <c r="A6" s="127" t="s">
        <v>334</v>
      </c>
      <c r="B6" s="48" t="s">
        <v>335</v>
      </c>
      <c r="C6" s="128" t="n">
        <f aca="false">CommodityCo!C19</f>
        <v>1.69230769230769</v>
      </c>
      <c r="D6" s="128" t="n">
        <f aca="false">CommodityCo!D19</f>
        <v>1.72560975609756</v>
      </c>
      <c r="E6" s="128" t="n">
        <f aca="false">CommodityCo!E19</f>
        <v>1.75951316743175</v>
      </c>
      <c r="F6" s="128" t="n">
        <f aca="false">CommodityCo!F19</f>
        <v>1.78355795825398</v>
      </c>
      <c r="G6" s="128" t="n">
        <f aca="false">CommodityCo!G19</f>
        <v>1.72171310120674</v>
      </c>
      <c r="H6" s="128" t="n">
        <f aca="false">CommodityCo!H19</f>
        <v>1.79122142474345</v>
      </c>
      <c r="I6" s="128" t="n">
        <f aca="false">CommodityCo!I19</f>
        <v>1.8466080697746</v>
      </c>
      <c r="J6" s="128" t="n">
        <f aca="false">CommodityCo!J19</f>
        <v>1.89296226770908</v>
      </c>
      <c r="K6" s="128" t="n">
        <f aca="false">CommodityCo!K19</f>
        <v>1.94049447008051</v>
      </c>
      <c r="L6" s="128" t="n">
        <f aca="false">CommodityCo!L19</f>
        <v>1.95718987691271</v>
      </c>
      <c r="M6" s="128" t="n">
        <f aca="false">CommodityCo!M19</f>
        <v>1.19790180574974</v>
      </c>
    </row>
    <row r="7" customFormat="false" ht="21.75" hidden="false" customHeight="true" outlineLevel="0" collapsed="false">
      <c r="A7" s="118"/>
      <c r="B7" s="55" t="s">
        <v>336</v>
      </c>
    </row>
    <row r="8" customFormat="false" ht="15" hidden="false" customHeight="true" outlineLevel="0" collapsed="false">
      <c r="A8" s="127" t="s">
        <v>337</v>
      </c>
      <c r="B8" s="48" t="s">
        <v>338</v>
      </c>
      <c r="C8" s="128" t="n">
        <f aca="false">RepoCo!C16</f>
        <v>1.33333333333333</v>
      </c>
      <c r="D8" s="128" t="n">
        <f aca="false">RepoCo!D16</f>
        <v>1.42857142857143</v>
      </c>
      <c r="E8" s="128" t="n">
        <f aca="false">RepoCo!E16</f>
        <v>1.53846153846154</v>
      </c>
      <c r="F8" s="128" t="n">
        <f aca="false">RepoCo!F16</f>
        <v>1.66666666666667</v>
      </c>
      <c r="G8" s="128" t="n">
        <f aca="false">RepoCo!G16</f>
        <v>2</v>
      </c>
      <c r="H8" s="128" t="n">
        <f aca="false">RepoCo!H16</f>
        <v>2.22222222222222</v>
      </c>
      <c r="I8" s="128" t="n">
        <f aca="false">RepoCo!I16</f>
        <v>3.33333333333333</v>
      </c>
      <c r="J8" s="128" t="n">
        <f aca="false">RepoCo!J16</f>
        <v>3.57142857142857</v>
      </c>
      <c r="K8" s="128" t="n">
        <f aca="false">RepoCo!K16</f>
        <v>4</v>
      </c>
      <c r="L8" s="128" t="n">
        <f aca="false">RepoCo!L16</f>
        <v>4.16666666666667</v>
      </c>
      <c r="M8" s="128" t="n">
        <f aca="false">RepoCo!M16</f>
        <v>4.16666666666667</v>
      </c>
    </row>
    <row r="9" customFormat="false" ht="21.75" hidden="false" customHeight="true" outlineLevel="0" collapsed="false">
      <c r="A9" s="118"/>
      <c r="B9" s="119" t="s">
        <v>339</v>
      </c>
    </row>
    <row r="10" customFormat="false" ht="15" hidden="false" customHeight="true" outlineLevel="0" collapsed="false">
      <c r="A10" s="127" t="s">
        <v>340</v>
      </c>
      <c r="B10" s="48" t="s">
        <v>341</v>
      </c>
      <c r="C10" s="101" t="n">
        <f aca="false">IF(HedgeCo!C14=0,"-",RepoCo!C4/HedgeCo!C14)</f>
        <v>0.326086956521739</v>
      </c>
      <c r="D10" s="101" t="n">
        <f aca="false">IF(HedgeCo!D14=0,"-",RepoCo!D4/HedgeCo!D14)</f>
        <v>0.304347826086957</v>
      </c>
      <c r="E10" s="101" t="n">
        <f aca="false">IF(HedgeCo!E14=0,"-",RepoCo!E4/HedgeCo!E14)</f>
        <v>0.282608695652174</v>
      </c>
      <c r="F10" s="101" t="n">
        <f aca="false">IF(HedgeCo!F14=0,"-",RepoCo!F4/HedgeCo!F14)</f>
        <v>0.260869565217391</v>
      </c>
      <c r="G10" s="101" t="n">
        <f aca="false">IF(HedgeCo!G14=0,"-",RepoCo!G4/HedgeCo!G14)</f>
        <v>0.217391304347826</v>
      </c>
      <c r="H10" s="101" t="n">
        <f aca="false">IF(HedgeCo!H14=0,"-",RepoCo!H4/HedgeCo!H14)</f>
        <v>0.195652173913043</v>
      </c>
      <c r="I10" s="101" t="n">
        <f aca="false">IF(HedgeCo!I14=0,"-",RepoCo!I4/HedgeCo!I14)</f>
        <v>0.130434782608696</v>
      </c>
      <c r="J10" s="101" t="n">
        <f aca="false">IF(HedgeCo!J14=0,"-",RepoCo!J4/HedgeCo!J14)</f>
        <v>0.121739130434783</v>
      </c>
      <c r="K10" s="101" t="n">
        <f aca="false">IF(HedgeCo!K14=0,"-",RepoCo!K4/HedgeCo!K14)</f>
        <v>0.108695652173913</v>
      </c>
      <c r="L10" s="101" t="n">
        <f aca="false">IF(HedgeCo!L14=0,"-",RepoCo!L4/HedgeCo!L14)</f>
        <v>0.104347826086957</v>
      </c>
      <c r="M10" s="101" t="n">
        <f aca="false">IF(HedgeCo!M14=0,"-",RepoCo!M4/HedgeCo!M14)</f>
        <v>0.103844558149727</v>
      </c>
    </row>
    <row r="11" customFormat="false" ht="21.75" hidden="false" customHeight="true" outlineLevel="0" collapsed="false">
      <c r="A11" s="118"/>
      <c r="B11" s="119" t="s">
        <v>342</v>
      </c>
    </row>
    <row r="12" customFormat="false" ht="23.25" hidden="false" customHeight="true" outlineLevel="0" collapsed="false">
      <c r="A12" s="127" t="s">
        <v>343</v>
      </c>
      <c r="B12" s="48" t="s">
        <v>344</v>
      </c>
      <c r="C12" s="129" t="n">
        <f aca="false">IF((FedCo!C15+HedgeCo!C14)=0,0,HedgeCo!C14/(FedCo!C15+HedgeCo!C14))</f>
        <v>0.511111111111111</v>
      </c>
      <c r="D12" s="129" t="n">
        <f aca="false">IF((FedCo!D15+HedgeCo!D14)=0,0,HedgeCo!D14/(FedCo!D15+HedgeCo!D14))</f>
        <v>0.574638437705193</v>
      </c>
      <c r="E12" s="129" t="n">
        <f aca="false">IF((FedCo!E15+HedgeCo!E14)=0,0,HedgeCo!E14/(FedCo!E15+HedgeCo!E14))</f>
        <v>0.650419683594889</v>
      </c>
      <c r="F12" s="129" t="n">
        <f aca="false">IF((FedCo!F15+HedgeCo!F14)=0,0,HedgeCo!F14/(FedCo!F15+HedgeCo!F14))</f>
        <v>0.718805990075901</v>
      </c>
      <c r="G12" s="129" t="n">
        <f aca="false">IF((FedCo!G15+HedgeCo!G14)=0,0,HedgeCo!G14/(FedCo!G15+HedgeCo!G14))</f>
        <v>0.859671668998913</v>
      </c>
      <c r="H12" s="129" t="n">
        <f aca="false">IF((FedCo!H15+HedgeCo!H14)=0,0,HedgeCo!H14/(FedCo!H15+HedgeCo!H14))</f>
        <v>0.860233923662066</v>
      </c>
      <c r="I12" s="129" t="n">
        <f aca="false">IF((FedCo!I15+HedgeCo!I14)=0,0,HedgeCo!I14/(FedCo!I15+HedgeCo!I14))</f>
        <v>0.874892301937032</v>
      </c>
      <c r="J12" s="129" t="n">
        <f aca="false">IF((FedCo!J15+HedgeCo!J14)=0,0,HedgeCo!J14/(FedCo!J15+HedgeCo!J14))</f>
        <v>0.881929793862803</v>
      </c>
      <c r="K12" s="129" t="n">
        <f aca="false">IF((FedCo!K15+HedgeCo!K14)=0,0,HedgeCo!K14/(FedCo!K15+HedgeCo!K14))</f>
        <v>0.897497891948043</v>
      </c>
      <c r="L12" s="129" t="n">
        <f aca="false">IF((FedCo!L15+HedgeCo!L14)=0,0,HedgeCo!L14/(FedCo!L15+HedgeCo!L14))</f>
        <v>0.912750813213705</v>
      </c>
      <c r="M12" s="129" t="n">
        <f aca="false">IF((FedCo!M15+HedgeCo!M14)=0,0,HedgeCo!M14/(FedCo!M15+HedgeCo!M14))</f>
        <v>0.944214344602992</v>
      </c>
    </row>
    <row r="13" customFormat="false" ht="21.75" hidden="false" customHeight="true" outlineLevel="0" collapsed="false">
      <c r="A13" s="118"/>
      <c r="B13" s="55" t="s">
        <v>345</v>
      </c>
    </row>
    <row r="14" customFormat="false" ht="15" hidden="false" customHeight="true" outlineLevel="0" collapsed="false">
      <c r="A14" s="127" t="s">
        <v>346</v>
      </c>
      <c r="B14" s="48" t="s">
        <v>347</v>
      </c>
      <c r="C14" s="101" t="n">
        <f aca="false">FedCo!C14</f>
        <v>0.514285714285714</v>
      </c>
      <c r="D14" s="101" t="n">
        <f aca="false">FedCo!D14</f>
        <v>0.554006968641115</v>
      </c>
      <c r="E14" s="101" t="n">
        <f aca="false">FedCo!E14</f>
        <v>0.591836734693878</v>
      </c>
      <c r="F14" s="101" t="n">
        <f aca="false">FedCo!F14</f>
        <v>0.642384105960265</v>
      </c>
      <c r="G14" s="101" t="n">
        <f aca="false">FedCo!G14</f>
        <v>0.951388888888889</v>
      </c>
      <c r="H14" s="101" t="n">
        <f aca="false">FedCo!H14</f>
        <v>0.886666666666667</v>
      </c>
      <c r="I14" s="101" t="n">
        <f aca="false">FedCo!I14</f>
        <v>0.798701298701299</v>
      </c>
      <c r="J14" s="101" t="n">
        <f aca="false">FedCo!J14</f>
        <v>0.701587301587302</v>
      </c>
      <c r="K14" s="101" t="n">
        <f aca="false">FedCo!K14</f>
        <v>0.64375</v>
      </c>
      <c r="L14" s="101" t="n">
        <f aca="false">FedCo!L14</f>
        <v>0.622641509433962</v>
      </c>
      <c r="M14" s="101" t="n">
        <f aca="false">FedCo!M14</f>
        <v>0.81</v>
      </c>
    </row>
    <row r="15" customFormat="false" ht="15" hidden="false" customHeight="true" outlineLevel="0" collapsed="false">
      <c r="A15" s="118"/>
      <c r="B15" s="119" t="s">
        <v>348</v>
      </c>
    </row>
    <row r="16" customFormat="false" ht="15" hidden="false" customHeight="true" outlineLevel="0" collapsed="false">
      <c r="A16" s="47" t="s">
        <v>349</v>
      </c>
      <c r="B16" s="48" t="s">
        <v>350</v>
      </c>
      <c r="C16" s="130" t="n">
        <f aca="false">ASSUMPTIONS!C4/ASSUMPTIONS!C5</f>
        <v>1.07142857142857</v>
      </c>
      <c r="D16" s="130" t="n">
        <f aca="false">ASSUMPTIONS!D4/ASSUMPTIONS!D5</f>
        <v>1.0801393728223</v>
      </c>
      <c r="E16" s="130" t="n">
        <f aca="false">ASSUMPTIONS!E4/ASSUMPTIONS!E5</f>
        <v>1.10544217687075</v>
      </c>
      <c r="F16" s="130" t="n">
        <f aca="false">ASSUMPTIONS!F4/ASSUMPTIONS!F5</f>
        <v>1.12582781456954</v>
      </c>
      <c r="G16" s="130" t="n">
        <f aca="false">ASSUMPTIONS!G4/ASSUMPTIONS!G5</f>
        <v>1.14583333333333</v>
      </c>
      <c r="H16" s="130" t="n">
        <f aca="false">ASSUMPTIONS!H4/ASSUMPTIONS!H5</f>
        <v>1.15</v>
      </c>
      <c r="I16" s="130" t="n">
        <f aca="false">ASSUMPTIONS!I4/ASSUMPTIONS!I5</f>
        <v>1.18506493506494</v>
      </c>
      <c r="J16" s="130" t="n">
        <f aca="false">ASSUMPTIONS!J4/ASSUMPTIONS!J5</f>
        <v>1.20634920634921</v>
      </c>
      <c r="K16" s="130" t="n">
        <f aca="false">ASSUMPTIONS!K4/ASSUMPTIONS!K5</f>
        <v>1.25</v>
      </c>
      <c r="L16" s="130" t="n">
        <f aca="false">ASSUMPTIONS!L4/ASSUMPTIONS!L5</f>
        <v>1.30503144654088</v>
      </c>
      <c r="M16" s="130" t="n">
        <f aca="false">ASSUMPTIONS!M4/ASSUMPTIONS!M5</f>
        <v>1.33333333333333</v>
      </c>
    </row>
    <row r="17" customFormat="false" ht="21.75" hidden="false" customHeight="true" outlineLevel="0" collapsed="false">
      <c r="A17" s="118"/>
      <c r="B17" s="119" t="s">
        <v>351</v>
      </c>
    </row>
  </sheetData>
  <mergeCells count="2">
    <mergeCell ref="A1:M1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8" min="3" style="1" width="14"/>
    <col collapsed="false" customWidth="true" hidden="false" outlineLevel="0" max="9" min="9" style="1" width="18"/>
  </cols>
  <sheetData>
    <row r="1" customFormat="false" ht="24" hidden="false" customHeight="true" outlineLevel="0" collapsed="false">
      <c r="A1" s="131" t="s">
        <v>352</v>
      </c>
      <c r="B1" s="131"/>
      <c r="C1" s="131"/>
      <c r="D1" s="131"/>
      <c r="E1" s="131"/>
      <c r="F1" s="131"/>
      <c r="G1" s="131"/>
      <c r="H1" s="131"/>
      <c r="I1" s="131"/>
    </row>
    <row r="2" customFormat="false" ht="30" hidden="false" customHeight="true" outlineLevel="0" collapsed="false">
      <c r="A2" s="132" t="s">
        <v>353</v>
      </c>
    </row>
    <row r="3" customFormat="false" ht="15" hidden="false" customHeight="true" outlineLevel="0" collapsed="false">
      <c r="A3" s="133" t="s">
        <v>39</v>
      </c>
      <c r="B3" s="133" t="s">
        <v>155</v>
      </c>
      <c r="C3" s="133" t="s">
        <v>354</v>
      </c>
      <c r="D3" s="133" t="s">
        <v>355</v>
      </c>
      <c r="E3" s="133" t="s">
        <v>356</v>
      </c>
      <c r="F3" s="133" t="s">
        <v>357</v>
      </c>
      <c r="G3" s="133" t="s">
        <v>358</v>
      </c>
      <c r="H3" s="133" t="s">
        <v>359</v>
      </c>
      <c r="I3" s="133" t="s">
        <v>360</v>
      </c>
    </row>
    <row r="5" customFormat="false" ht="19.5" hidden="false" customHeight="true" outlineLevel="0" collapsed="false">
      <c r="A5" s="134" t="s">
        <v>361</v>
      </c>
      <c r="B5" s="134"/>
      <c r="C5" s="134"/>
      <c r="D5" s="134"/>
      <c r="E5" s="134"/>
      <c r="F5" s="134"/>
      <c r="G5" s="134"/>
      <c r="H5" s="134"/>
      <c r="I5" s="134"/>
    </row>
    <row r="6" customFormat="false" ht="15" hidden="false" customHeight="true" outlineLevel="0" collapsed="false">
      <c r="A6" s="135" t="s">
        <v>362</v>
      </c>
      <c r="B6" s="135"/>
    </row>
    <row r="7" customFormat="false" ht="15" hidden="false" customHeight="true" outlineLevel="0" collapsed="false">
      <c r="A7" s="136" t="s">
        <v>363</v>
      </c>
      <c r="B7" s="136" t="s">
        <v>364</v>
      </c>
      <c r="C7" s="137" t="n">
        <v>500</v>
      </c>
      <c r="H7" s="26" t="n">
        <v>500</v>
      </c>
      <c r="I7" s="136" t="s">
        <v>365</v>
      </c>
    </row>
    <row r="8" customFormat="false" ht="15" hidden="false" customHeight="true" outlineLevel="0" collapsed="false">
      <c r="A8" s="136" t="s">
        <v>366</v>
      </c>
      <c r="B8" s="136" t="s">
        <v>367</v>
      </c>
      <c r="C8" s="138" t="n">
        <v>20</v>
      </c>
      <c r="H8" s="138" t="n">
        <v>20</v>
      </c>
      <c r="I8" s="136" t="s">
        <v>368</v>
      </c>
    </row>
    <row r="9" customFormat="false" ht="15" hidden="false" customHeight="true" outlineLevel="0" collapsed="false">
      <c r="A9" s="69" t="s">
        <v>369</v>
      </c>
      <c r="B9" s="69" t="n">
        <f aca="false">C7/C8</f>
        <v>25</v>
      </c>
      <c r="C9" s="139" t="n">
        <f aca="false">C7/C8</f>
        <v>25</v>
      </c>
    </row>
    <row r="10" customFormat="false" ht="15" hidden="false" customHeight="true" outlineLevel="0" collapsed="false">
      <c r="A10" s="136" t="s">
        <v>370</v>
      </c>
      <c r="B10" s="136" t="s">
        <v>371</v>
      </c>
      <c r="C10" s="140" t="n">
        <v>0.02</v>
      </c>
    </row>
    <row r="11" customFormat="false" ht="23.25" hidden="false" customHeight="true" outlineLevel="0" collapsed="false">
      <c r="A11" s="136" t="s">
        <v>372</v>
      </c>
      <c r="B11" s="136" t="s">
        <v>373</v>
      </c>
      <c r="C11" s="140" t="n">
        <v>0.033</v>
      </c>
    </row>
    <row r="12" customFormat="false" ht="23.25" hidden="false" customHeight="true" outlineLevel="0" collapsed="false">
      <c r="A12" s="136" t="s">
        <v>374</v>
      </c>
      <c r="B12" s="136" t="s">
        <v>375</v>
      </c>
      <c r="C12" s="140" t="n">
        <v>0.3</v>
      </c>
    </row>
    <row r="13" customFormat="false" ht="23.25" hidden="false" customHeight="true" outlineLevel="0" collapsed="false">
      <c r="A13" s="136" t="s">
        <v>376</v>
      </c>
      <c r="B13" s="141" t="s">
        <v>377</v>
      </c>
      <c r="C13" s="26" t="n">
        <v>150</v>
      </c>
    </row>
    <row r="14" customFormat="false" ht="15" hidden="false" customHeight="true" outlineLevel="0" collapsed="false">
      <c r="A14" s="136" t="s">
        <v>378</v>
      </c>
      <c r="B14" s="136" t="s">
        <v>379</v>
      </c>
      <c r="C14" s="138" t="n">
        <v>8</v>
      </c>
    </row>
    <row r="15" customFormat="false" ht="6" hidden="false" customHeight="true" outlineLevel="0" collapsed="false"/>
    <row r="16" customFormat="false" ht="15" hidden="false" customHeight="true" outlineLevel="0" collapsed="false">
      <c r="A16" s="135" t="s">
        <v>380</v>
      </c>
      <c r="B16" s="135"/>
      <c r="C16" s="135"/>
      <c r="D16" s="135"/>
      <c r="E16" s="135"/>
      <c r="F16" s="135"/>
      <c r="G16" s="135"/>
      <c r="H16" s="135"/>
      <c r="I16" s="135"/>
    </row>
    <row r="17" customFormat="false" ht="15" hidden="false" customHeight="true" outlineLevel="0" collapsed="false">
      <c r="C17" s="142" t="s">
        <v>354</v>
      </c>
      <c r="D17" s="142" t="s">
        <v>355</v>
      </c>
      <c r="E17" s="142" t="s">
        <v>356</v>
      </c>
      <c r="F17" s="142" t="s">
        <v>357</v>
      </c>
      <c r="G17" s="142" t="s">
        <v>358</v>
      </c>
      <c r="H17" s="142" t="s">
        <v>359</v>
      </c>
      <c r="I17" s="142" t="s">
        <v>360</v>
      </c>
    </row>
    <row r="18" customFormat="false" ht="23.25" hidden="false" customHeight="true" outlineLevel="0" collapsed="false">
      <c r="A18" s="69" t="s">
        <v>381</v>
      </c>
      <c r="B18" s="69" t="s">
        <v>382</v>
      </c>
      <c r="C18" s="143" t="n">
        <f aca="false">C7</f>
        <v>500</v>
      </c>
      <c r="D18" s="143" t="n">
        <f aca="false">C18*(1-$C$12)</f>
        <v>350</v>
      </c>
      <c r="E18" s="143" t="n">
        <f aca="false">D18*(1-$C$12)</f>
        <v>245</v>
      </c>
      <c r="F18" s="143" t="n">
        <f aca="false">E18*(1-$C$12)</f>
        <v>171.5</v>
      </c>
      <c r="G18" s="143" t="n">
        <f aca="false">F18*(1-$C$12)</f>
        <v>120.05</v>
      </c>
      <c r="I18" s="69" t="s">
        <v>365</v>
      </c>
    </row>
    <row r="19" customFormat="false" ht="34.5" hidden="false" customHeight="true" outlineLevel="0" collapsed="false">
      <c r="A19" s="69" t="s">
        <v>383</v>
      </c>
      <c r="B19" s="69" t="s">
        <v>384</v>
      </c>
      <c r="C19" s="144" t="n">
        <f aca="false">C9-C10*C7</f>
        <v>15</v>
      </c>
      <c r="D19" s="144" t="n">
        <f aca="false">MAX(0,C19-$C$10*C18)</f>
        <v>5</v>
      </c>
      <c r="E19" s="144" t="n">
        <f aca="false">MAX(0,D19-$C$10*D18)</f>
        <v>0</v>
      </c>
      <c r="F19" s="144" t="n">
        <f aca="false">MAX(0,E19-$C$10*E18)</f>
        <v>0</v>
      </c>
      <c r="G19" s="144" t="n">
        <f aca="false">MAX(0,F19-$C$10*F18)</f>
        <v>0</v>
      </c>
      <c r="H19" s="144" t="n">
        <f aca="false">G19</f>
        <v>0</v>
      </c>
      <c r="I19" s="69" t="s">
        <v>365</v>
      </c>
    </row>
    <row r="20" customFormat="false" ht="34.5" hidden="false" customHeight="true" outlineLevel="0" collapsed="false">
      <c r="A20" s="69" t="s">
        <v>385</v>
      </c>
      <c r="B20" s="69" t="s">
        <v>386</v>
      </c>
      <c r="C20" s="143" t="n">
        <f aca="false">$C$10*C18</f>
        <v>10</v>
      </c>
      <c r="D20" s="143" t="n">
        <f aca="false">$C$10*D18</f>
        <v>7</v>
      </c>
      <c r="E20" s="143" t="n">
        <f aca="false">$C$10*E18</f>
        <v>4.9</v>
      </c>
      <c r="F20" s="143" t="n">
        <f aca="false">$C$10*F18</f>
        <v>3.43</v>
      </c>
      <c r="G20" s="143" t="n">
        <f aca="false">$C$10*G18</f>
        <v>2.401</v>
      </c>
      <c r="H20" s="143" t="n">
        <f aca="false">SUM(C20:G20)</f>
        <v>27.731</v>
      </c>
      <c r="I20" s="69" t="s">
        <v>365</v>
      </c>
    </row>
    <row r="21" customFormat="false" ht="45.75" hidden="false" customHeight="true" outlineLevel="0" collapsed="false">
      <c r="A21" s="145" t="s">
        <v>387</v>
      </c>
      <c r="B21" s="145" t="s">
        <v>388</v>
      </c>
      <c r="C21" s="146" t="n">
        <f aca="false">$C$10*C18*0.5</f>
        <v>5</v>
      </c>
      <c r="D21" s="146" t="n">
        <f aca="false">$C$10*D18*0.5</f>
        <v>3.5</v>
      </c>
      <c r="E21" s="146" t="n">
        <f aca="false">$C$10*E18*0.5</f>
        <v>2.45</v>
      </c>
      <c r="F21" s="146" t="n">
        <f aca="false">$C$10*F18*0.5</f>
        <v>1.715</v>
      </c>
      <c r="G21" s="146" t="n">
        <f aca="false">$C$10*G18*0.5</f>
        <v>1.2005</v>
      </c>
      <c r="H21" s="146" t="n">
        <f aca="false">SUM(C21:G21)</f>
        <v>13.8655</v>
      </c>
      <c r="I21" s="145" t="s">
        <v>365</v>
      </c>
    </row>
    <row r="22" customFormat="false" ht="23.25" hidden="false" customHeight="true" outlineLevel="0" collapsed="false">
      <c r="A22" s="69" t="s">
        <v>389</v>
      </c>
      <c r="B22" s="69" t="s">
        <v>390</v>
      </c>
      <c r="C22" s="143" t="n">
        <f aca="false">$C$12*C18</f>
        <v>150</v>
      </c>
      <c r="D22" s="143" t="n">
        <f aca="false">$C$12*D18</f>
        <v>105</v>
      </c>
      <c r="E22" s="143" t="n">
        <f aca="false">$C$12*E18</f>
        <v>73.5</v>
      </c>
      <c r="F22" s="143" t="n">
        <f aca="false">$C$12*F18</f>
        <v>51.45</v>
      </c>
      <c r="G22" s="143" t="n">
        <f aca="false">$C$12*G18</f>
        <v>36.015</v>
      </c>
      <c r="H22" s="143" t="n">
        <f aca="false">SUM(C22:G22)</f>
        <v>415.965</v>
      </c>
      <c r="I22" s="69" t="s">
        <v>365</v>
      </c>
    </row>
    <row r="23" customFormat="false" ht="34.5" hidden="false" customHeight="true" outlineLevel="0" collapsed="false">
      <c r="A23" s="145" t="s">
        <v>391</v>
      </c>
      <c r="B23" s="147" t="s">
        <v>392</v>
      </c>
      <c r="C23" s="146" t="n">
        <f aca="false">MAX(0,C22-$C$13)</f>
        <v>0</v>
      </c>
      <c r="D23" s="146" t="n">
        <f aca="false">MAX(0,D22-$C$13*0.05)</f>
        <v>97.5</v>
      </c>
      <c r="E23" s="146" t="n">
        <f aca="false">MAX(0,E22-$C$13*0.05)</f>
        <v>66</v>
      </c>
      <c r="F23" s="146" t="n">
        <f aca="false">MAX(0,F22-$C$13*0.05)</f>
        <v>43.95</v>
      </c>
      <c r="G23" s="146" t="n">
        <f aca="false">MAX(0,G22-$C$13*0.05)</f>
        <v>28.515</v>
      </c>
      <c r="H23" s="146" t="n">
        <f aca="false">SUM(C23:G23)</f>
        <v>235.965</v>
      </c>
      <c r="I23" s="145" t="s">
        <v>365</v>
      </c>
    </row>
    <row r="24" customFormat="false" ht="45.75" hidden="false" customHeight="true" outlineLevel="0" collapsed="false">
      <c r="A24" s="148" t="s">
        <v>393</v>
      </c>
      <c r="B24" s="148" t="s">
        <v>394</v>
      </c>
      <c r="C24" s="149" t="n">
        <f aca="false">C23/100*$C$14</f>
        <v>0</v>
      </c>
      <c r="D24" s="149" t="n">
        <f aca="false">D23/100*$C$14</f>
        <v>7.8</v>
      </c>
      <c r="E24" s="149" t="n">
        <f aca="false">E23/100*$C$14</f>
        <v>5.28</v>
      </c>
      <c r="F24" s="149" t="n">
        <f aca="false">F23/100*$C$14</f>
        <v>3.516</v>
      </c>
      <c r="G24" s="149" t="n">
        <f aca="false">G23/100*$C$14</f>
        <v>2.2812</v>
      </c>
      <c r="H24" s="149" t="n">
        <f aca="false">SUM(C24:G24)</f>
        <v>18.8772</v>
      </c>
      <c r="I24" s="148" t="s">
        <v>395</v>
      </c>
    </row>
    <row r="25" customFormat="false" ht="6" hidden="false" customHeight="true" outlineLevel="0" collapsed="false"/>
    <row r="26" customFormat="false" ht="15" hidden="false" customHeight="true" outlineLevel="0" collapsed="false">
      <c r="A26" s="135" t="s">
        <v>396</v>
      </c>
      <c r="B26" s="135"/>
      <c r="C26" s="135"/>
      <c r="D26" s="135"/>
      <c r="E26" s="135"/>
      <c r="F26" s="135"/>
      <c r="G26" s="135"/>
      <c r="H26" s="135"/>
      <c r="I26" s="135"/>
    </row>
    <row r="27" customFormat="false" ht="15" hidden="false" customHeight="true" outlineLevel="0" collapsed="false">
      <c r="A27" s="148" t="s">
        <v>397</v>
      </c>
      <c r="C27" s="150" t="n">
        <f aca="false">H22</f>
        <v>415.965</v>
      </c>
      <c r="I27" s="148" t="s">
        <v>365</v>
      </c>
    </row>
    <row r="28" customFormat="false" ht="15" hidden="false" customHeight="true" outlineLevel="0" collapsed="false">
      <c r="A28" s="148" t="s">
        <v>398</v>
      </c>
      <c r="C28" s="151" t="n">
        <f aca="false">H24</f>
        <v>18.8772</v>
      </c>
      <c r="I28" s="148" t="s">
        <v>395</v>
      </c>
    </row>
    <row r="29" customFormat="false" ht="15" hidden="false" customHeight="true" outlineLevel="0" collapsed="false">
      <c r="A29" s="148" t="s">
        <v>399</v>
      </c>
      <c r="C29" s="152" t="n">
        <f aca="true">IFERROR(MATCH(TRUE(),INDIRECT("C19:G19")&lt;=0,0),"Not wiped")</f>
        <v>3</v>
      </c>
      <c r="I29" s="148" t="s">
        <v>400</v>
      </c>
    </row>
    <row r="30" customFormat="false" ht="34.5" hidden="false" customHeight="true" outlineLevel="0" collapsed="false">
      <c r="A30" s="148" t="s">
        <v>401</v>
      </c>
      <c r="B30" s="153" t="s">
        <v>402</v>
      </c>
      <c r="C30" s="150" t="n">
        <f aca="false">H22*3.85</f>
        <v>1601.46525</v>
      </c>
      <c r="I30" s="148" t="s">
        <v>365</v>
      </c>
    </row>
    <row r="31" customFormat="false" ht="23.25" hidden="false" customHeight="true" outlineLevel="0" collapsed="false">
      <c r="A31" s="148" t="s">
        <v>403</v>
      </c>
      <c r="B31" s="148" t="s">
        <v>404</v>
      </c>
      <c r="C31" s="154" t="n">
        <f aca="false">MEASURES!K10</f>
        <v>0.108695652173913</v>
      </c>
    </row>
    <row r="32" customFormat="false" ht="23.25" hidden="false" customHeight="true" outlineLevel="0" collapsed="false">
      <c r="A32" s="148" t="s">
        <v>405</v>
      </c>
      <c r="C32" s="150" t="n">
        <f aca="false">(HedgeCo!M14+C30)/(FedCo!M15+HedgeCo!M14)</f>
        <v>1.55196120560152</v>
      </c>
    </row>
    <row r="33" customFormat="false" ht="15" hidden="false" customHeight="true" outlineLevel="0" collapsed="false">
      <c r="A33" s="148" t="s">
        <v>406</v>
      </c>
      <c r="C33" s="150" t="n">
        <f aca="false">FedCo!M15-C30</f>
        <v>-1454.46525</v>
      </c>
    </row>
    <row r="34" customFormat="false" ht="12" hidden="false" customHeight="true" outlineLevel="0" collapsed="false">
      <c r="A34" s="155" t="s">
        <v>407</v>
      </c>
      <c r="C34" s="156" t="str">
        <f aca="false">IF(C30&gt;FedCo!M15,"BREACH","OK")</f>
        <v>BREACH</v>
      </c>
      <c r="D34" s="155" t="s">
        <v>408</v>
      </c>
      <c r="E34" s="157" t="n">
        <f aca="false">MAX(0,C30-FedCo!M15)</f>
        <v>1454.46525</v>
      </c>
    </row>
    <row r="35" customFormat="false" ht="19.5" hidden="false" customHeight="true" outlineLevel="0" collapsed="false">
      <c r="A35" s="158" t="s">
        <v>409</v>
      </c>
    </row>
    <row r="36" customFormat="false" ht="15" hidden="false" customHeight="true" outlineLevel="0" collapsed="false">
      <c r="A36" s="159" t="s">
        <v>362</v>
      </c>
      <c r="B36" s="159"/>
    </row>
    <row r="37" customFormat="false" ht="15" hidden="false" customHeight="true" outlineLevel="0" collapsed="false">
      <c r="A37" s="136" t="s">
        <v>363</v>
      </c>
      <c r="C37" s="137" t="n">
        <v>400</v>
      </c>
    </row>
    <row r="38" customFormat="false" ht="15" hidden="false" customHeight="true" outlineLevel="0" collapsed="false">
      <c r="A38" s="136" t="s">
        <v>410</v>
      </c>
      <c r="C38" s="138" t="n">
        <v>20</v>
      </c>
    </row>
    <row r="39" customFormat="false" ht="15" hidden="false" customHeight="true" outlineLevel="0" collapsed="false">
      <c r="A39" s="69" t="s">
        <v>411</v>
      </c>
      <c r="C39" s="143" t="n">
        <f aca="false">C37/C38</f>
        <v>20</v>
      </c>
    </row>
    <row r="40" customFormat="false" ht="15" hidden="false" customHeight="true" outlineLevel="0" collapsed="false">
      <c r="A40" s="136" t="s">
        <v>412</v>
      </c>
      <c r="C40" s="140" t="n">
        <v>0.02</v>
      </c>
    </row>
    <row r="41" customFormat="false" ht="23.25" hidden="false" customHeight="true" outlineLevel="0" collapsed="false">
      <c r="A41" s="136" t="s">
        <v>413</v>
      </c>
      <c r="B41" s="136" t="s">
        <v>414</v>
      </c>
      <c r="C41" s="140" t="n">
        <v>0.1</v>
      </c>
    </row>
    <row r="42" customFormat="false" ht="15" hidden="false" customHeight="true" outlineLevel="0" collapsed="false">
      <c r="A42" s="136" t="s">
        <v>415</v>
      </c>
      <c r="C42" s="140" t="n">
        <v>0.006</v>
      </c>
    </row>
    <row r="43" customFormat="false" ht="34.5" hidden="false" customHeight="true" outlineLevel="0" collapsed="false">
      <c r="A43" s="136" t="s">
        <v>416</v>
      </c>
      <c r="B43" s="136" t="s">
        <v>417</v>
      </c>
      <c r="C43" s="140" t="n">
        <v>0.3</v>
      </c>
    </row>
    <row r="44" customFormat="false" ht="15" hidden="false" customHeight="true" outlineLevel="0" collapsed="false">
      <c r="A44" s="136" t="s">
        <v>374</v>
      </c>
      <c r="C44" s="140" t="n">
        <v>0.3</v>
      </c>
    </row>
    <row r="45" customFormat="false" ht="15" hidden="false" customHeight="true" outlineLevel="0" collapsed="false">
      <c r="A45" s="136" t="s">
        <v>376</v>
      </c>
      <c r="C45" s="26" t="n">
        <v>150</v>
      </c>
    </row>
    <row r="46" customFormat="false" ht="15" hidden="false" customHeight="true" outlineLevel="0" collapsed="false">
      <c r="A46" s="136" t="s">
        <v>378</v>
      </c>
      <c r="C46" s="138" t="n">
        <v>8</v>
      </c>
    </row>
    <row r="47" customFormat="false" ht="6" hidden="false" customHeight="true" outlineLevel="0" collapsed="false"/>
    <row r="48" customFormat="false" ht="15" hidden="false" customHeight="true" outlineLevel="0" collapsed="false">
      <c r="A48" s="159" t="s">
        <v>418</v>
      </c>
      <c r="B48" s="159"/>
      <c r="C48" s="159"/>
      <c r="D48" s="159"/>
      <c r="E48" s="159"/>
      <c r="F48" s="159"/>
      <c r="G48" s="159"/>
      <c r="H48" s="159"/>
      <c r="I48" s="159"/>
    </row>
    <row r="49" customFormat="false" ht="15" hidden="false" customHeight="true" outlineLevel="0" collapsed="false">
      <c r="A49" s="69" t="s">
        <v>419</v>
      </c>
      <c r="C49" s="160" t="n">
        <f aca="false">C42-C40</f>
        <v>-0.014</v>
      </c>
      <c r="I49" s="69" t="s">
        <v>420</v>
      </c>
    </row>
    <row r="50" customFormat="false" ht="57" hidden="false" customHeight="true" outlineLevel="0" collapsed="false">
      <c r="A50" s="145" t="s">
        <v>421</v>
      </c>
      <c r="B50" s="145" t="s">
        <v>422</v>
      </c>
      <c r="C50" s="161" t="n">
        <f aca="false">C42-C41</f>
        <v>-0.094</v>
      </c>
      <c r="I50" s="145" t="s">
        <v>420</v>
      </c>
    </row>
    <row r="51" customFormat="false" ht="23.25" hidden="false" customHeight="true" outlineLevel="0" collapsed="false">
      <c r="A51" s="145" t="s">
        <v>423</v>
      </c>
      <c r="B51" s="145" t="s">
        <v>424</v>
      </c>
      <c r="C51" s="146" t="n">
        <f aca="false">C43*C37</f>
        <v>120</v>
      </c>
      <c r="I51" s="145" t="s">
        <v>365</v>
      </c>
    </row>
    <row r="52" customFormat="false" ht="15" hidden="false" customHeight="true" outlineLevel="0" collapsed="false">
      <c r="A52" s="69" t="s">
        <v>425</v>
      </c>
      <c r="C52" s="143" t="n">
        <f aca="false">C37</f>
        <v>400</v>
      </c>
      <c r="D52" s="143" t="n">
        <f aca="false">C52*(1-$C$44)</f>
        <v>280</v>
      </c>
      <c r="E52" s="143" t="n">
        <f aca="false">D52*(1-$C$44)</f>
        <v>196</v>
      </c>
      <c r="F52" s="143" t="n">
        <f aca="false">E52*(1-$C$44)</f>
        <v>137.2</v>
      </c>
      <c r="G52" s="143" t="n">
        <f aca="false">F52*(1-$C$44)</f>
        <v>96.04</v>
      </c>
      <c r="I52" s="69" t="s">
        <v>365</v>
      </c>
    </row>
    <row r="53" customFormat="false" ht="15" hidden="false" customHeight="true" outlineLevel="0" collapsed="false">
      <c r="A53" s="69" t="s">
        <v>426</v>
      </c>
      <c r="C53" s="143" t="n">
        <f aca="false">C51+C44*C52</f>
        <v>240</v>
      </c>
      <c r="D53" s="143" t="n">
        <f aca="false">$C$44*D52</f>
        <v>84</v>
      </c>
      <c r="E53" s="143" t="n">
        <f aca="false">$C$44*E52</f>
        <v>58.8</v>
      </c>
      <c r="F53" s="143" t="n">
        <f aca="false">$C$44*F52</f>
        <v>41.16</v>
      </c>
      <c r="G53" s="143" t="n">
        <f aca="false">$C$44*G52</f>
        <v>28.812</v>
      </c>
      <c r="H53" s="143" t="n">
        <f aca="false">SUM(C53:G53)</f>
        <v>452.772</v>
      </c>
      <c r="I53" s="69" t="s">
        <v>365</v>
      </c>
    </row>
    <row r="54" customFormat="false" ht="15" hidden="false" customHeight="true" outlineLevel="0" collapsed="false">
      <c r="A54" s="145" t="s">
        <v>427</v>
      </c>
      <c r="C54" s="146" t="n">
        <f aca="false">MAX(0,C53-C45)</f>
        <v>90</v>
      </c>
      <c r="D54" s="146" t="n">
        <f aca="false">MAX(0,D53-$C$45*0.05)</f>
        <v>76.5</v>
      </c>
      <c r="E54" s="146" t="n">
        <f aca="false">MAX(0,E53-$C$45*0.05)</f>
        <v>51.3</v>
      </c>
      <c r="F54" s="146" t="n">
        <f aca="false">MAX(0,F53-$C$45*0.05)</f>
        <v>33.66</v>
      </c>
      <c r="G54" s="146" t="n">
        <f aca="false">MAX(0,G53-$C$45*0.05)</f>
        <v>21.312</v>
      </c>
      <c r="H54" s="146" t="n">
        <f aca="false">SUM(C54:G54)</f>
        <v>272.772</v>
      </c>
      <c r="I54" s="145" t="s">
        <v>365</v>
      </c>
    </row>
    <row r="55" customFormat="false" ht="15" hidden="false" customHeight="true" outlineLevel="0" collapsed="false">
      <c r="A55" s="148" t="s">
        <v>428</v>
      </c>
      <c r="C55" s="149" t="n">
        <f aca="false">C54/100*C46</f>
        <v>7.2</v>
      </c>
      <c r="D55" s="149" t="n">
        <f aca="false">D54/100*C46</f>
        <v>6.12</v>
      </c>
      <c r="E55" s="149" t="n">
        <f aca="false">E54/100*C46</f>
        <v>4.104</v>
      </c>
      <c r="F55" s="149" t="n">
        <f aca="false">F54/100*C46</f>
        <v>2.6928</v>
      </c>
      <c r="G55" s="149" t="n">
        <f aca="false">G54/100*C46</f>
        <v>1.70496</v>
      </c>
      <c r="H55" s="149" t="n">
        <f aca="false">SUM(C55:G55)</f>
        <v>21.82176</v>
      </c>
      <c r="I55" s="148" t="s">
        <v>395</v>
      </c>
    </row>
    <row r="56" customFormat="false" ht="6" hidden="false" customHeight="true" outlineLevel="0" collapsed="false"/>
    <row r="57" customFormat="false" ht="15" hidden="false" customHeight="true" outlineLevel="0" collapsed="false">
      <c r="A57" s="159" t="s">
        <v>396</v>
      </c>
      <c r="B57" s="159"/>
      <c r="C57" s="159"/>
      <c r="D57" s="159"/>
      <c r="E57" s="159"/>
      <c r="F57" s="159"/>
      <c r="G57" s="159"/>
      <c r="H57" s="159"/>
      <c r="I57" s="159"/>
    </row>
    <row r="58" customFormat="false" ht="15" hidden="false" customHeight="true" outlineLevel="0" collapsed="false">
      <c r="A58" s="148" t="s">
        <v>397</v>
      </c>
      <c r="C58" s="150" t="n">
        <f aca="false">H53</f>
        <v>452.772</v>
      </c>
      <c r="I58" s="148" t="s">
        <v>365</v>
      </c>
    </row>
    <row r="59" customFormat="false" ht="15" hidden="false" customHeight="true" outlineLevel="0" collapsed="false">
      <c r="A59" s="148" t="s">
        <v>398</v>
      </c>
      <c r="C59" s="151" t="n">
        <f aca="false">H55</f>
        <v>21.82176</v>
      </c>
      <c r="I59" s="148" t="s">
        <v>395</v>
      </c>
    </row>
    <row r="60" customFormat="false" ht="34.5" hidden="false" customHeight="true" outlineLevel="0" collapsed="false">
      <c r="A60" s="148" t="s">
        <v>429</v>
      </c>
      <c r="B60" s="162" t="s">
        <v>430</v>
      </c>
      <c r="C60" s="150" t="n">
        <f aca="false">H53*0.88</f>
        <v>398.43936</v>
      </c>
      <c r="I60" s="148" t="s">
        <v>365</v>
      </c>
    </row>
    <row r="61" customFormat="false" ht="15" hidden="false" customHeight="true" outlineLevel="0" collapsed="false">
      <c r="A61" s="148" t="s">
        <v>431</v>
      </c>
      <c r="C61" s="154" t="n">
        <f aca="false">MEASURES!K10</f>
        <v>0.108695652173913</v>
      </c>
    </row>
    <row r="62" customFormat="false" ht="15" hidden="false" customHeight="true" outlineLevel="0" collapsed="false">
      <c r="A62" s="148" t="s">
        <v>432</v>
      </c>
      <c r="C62" s="150" t="n">
        <f aca="false">(HedgeCo!M14+C60)/(FedCo!M15+HedgeCo!M14)</f>
        <v>1.09541979245037</v>
      </c>
    </row>
    <row r="63" customFormat="false" ht="15" hidden="false" customHeight="true" outlineLevel="0" collapsed="false">
      <c r="A63" s="148" t="s">
        <v>406</v>
      </c>
      <c r="C63" s="150" t="n">
        <f aca="false">FedCo!M15-C60</f>
        <v>-251.43936</v>
      </c>
    </row>
    <row r="64" customFormat="false" ht="12" hidden="false" customHeight="true" outlineLevel="0" collapsed="false">
      <c r="A64" s="155" t="s">
        <v>433</v>
      </c>
      <c r="C64" s="156" t="str">
        <f aca="false">IF(C60&gt;FedCo!M15,"BREACH","OK")</f>
        <v>BREACH</v>
      </c>
      <c r="E64" s="157" t="n">
        <f aca="false">MAX(0,C60-FedCo!M15)</f>
        <v>251.43936</v>
      </c>
    </row>
    <row r="65" customFormat="false" ht="19.5" hidden="false" customHeight="true" outlineLevel="0" collapsed="false">
      <c r="A65" s="163" t="s">
        <v>434</v>
      </c>
    </row>
    <row r="66" customFormat="false" ht="15" hidden="false" customHeight="true" outlineLevel="0" collapsed="false">
      <c r="C66" s="142" t="s">
        <v>435</v>
      </c>
      <c r="D66" s="142" t="s">
        <v>436</v>
      </c>
      <c r="E66" s="142" t="s">
        <v>437</v>
      </c>
      <c r="F66" s="142" t="s">
        <v>438</v>
      </c>
      <c r="G66" s="142" t="s">
        <v>439</v>
      </c>
      <c r="H66" s="142" t="s">
        <v>359</v>
      </c>
      <c r="I66" s="142" t="s">
        <v>360</v>
      </c>
    </row>
    <row r="67" customFormat="false" ht="15" hidden="false" customHeight="true" outlineLevel="0" collapsed="false">
      <c r="A67" s="164" t="s">
        <v>362</v>
      </c>
      <c r="B67" s="164"/>
    </row>
    <row r="68" customFormat="false" ht="23.25" hidden="false" customHeight="true" outlineLevel="0" collapsed="false">
      <c r="A68" s="136" t="s">
        <v>440</v>
      </c>
      <c r="B68" s="136" t="s">
        <v>441</v>
      </c>
      <c r="C68" s="137" t="n">
        <v>35</v>
      </c>
    </row>
    <row r="69" customFormat="false" ht="34.5" hidden="false" customHeight="true" outlineLevel="0" collapsed="false">
      <c r="A69" s="136" t="s">
        <v>442</v>
      </c>
      <c r="B69" s="136" t="s">
        <v>443</v>
      </c>
      <c r="C69" s="138" t="n">
        <v>3</v>
      </c>
      <c r="I69" s="136" t="s">
        <v>444</v>
      </c>
    </row>
    <row r="70" customFormat="false" ht="23.25" hidden="false" customHeight="true" outlineLevel="0" collapsed="false">
      <c r="A70" s="69" t="s">
        <v>445</v>
      </c>
      <c r="B70" s="69" t="s">
        <v>446</v>
      </c>
      <c r="C70" s="165" t="n">
        <f aca="false">CommodityCo!M19</f>
        <v>1.19790180574974</v>
      </c>
      <c r="I70" s="69" t="s">
        <v>447</v>
      </c>
    </row>
    <row r="71" customFormat="false" ht="15" hidden="false" customHeight="true" outlineLevel="0" collapsed="false">
      <c r="A71" s="69" t="s">
        <v>448</v>
      </c>
      <c r="C71" s="143" t="n">
        <f aca="false">CommodityCo!M4+CommodityCo!M5</f>
        <v>46.8880141169365</v>
      </c>
      <c r="I71" s="69" t="s">
        <v>365</v>
      </c>
    </row>
    <row r="72" customFormat="false" ht="15" hidden="false" customHeight="true" outlineLevel="0" collapsed="false">
      <c r="A72" s="69" t="s">
        <v>449</v>
      </c>
      <c r="B72" s="89" t="s">
        <v>450</v>
      </c>
      <c r="C72" s="144" t="n">
        <f aca="false">(CommodityCo!M13*0.04+CommodityCo!M15)/3</f>
        <v>3.87982586856799</v>
      </c>
      <c r="I72" s="69" t="s">
        <v>451</v>
      </c>
    </row>
    <row r="73" customFormat="false" ht="15" hidden="false" customHeight="true" outlineLevel="0" collapsed="false">
      <c r="A73" s="69" t="s">
        <v>452</v>
      </c>
      <c r="C73" s="143" t="n">
        <f aca="false">CommodityCo!M8</f>
        <v>10</v>
      </c>
      <c r="I73" s="69" t="s">
        <v>365</v>
      </c>
    </row>
    <row r="74" customFormat="false" ht="15" hidden="false" customHeight="true" outlineLevel="0" collapsed="false">
      <c r="A74" s="136" t="s">
        <v>453</v>
      </c>
      <c r="C74" s="140" t="n">
        <v>0.6</v>
      </c>
    </row>
    <row r="75" customFormat="false" ht="45.75" hidden="false" customHeight="true" outlineLevel="0" collapsed="false">
      <c r="A75" s="136" t="s">
        <v>454</v>
      </c>
      <c r="B75" s="136" t="s">
        <v>455</v>
      </c>
      <c r="C75" s="140" t="n">
        <v>0.8</v>
      </c>
    </row>
    <row r="76" customFormat="false" ht="15" hidden="false" customHeight="true" outlineLevel="0" collapsed="false">
      <c r="A76" s="69" t="s">
        <v>456</v>
      </c>
      <c r="C76" s="143" t="n">
        <f aca="false">HedgeCo!M14</f>
        <v>2488.08600829102</v>
      </c>
      <c r="I76" s="69" t="s">
        <v>365</v>
      </c>
    </row>
    <row r="77" customFormat="false" ht="15" hidden="false" customHeight="true" outlineLevel="0" collapsed="false">
      <c r="A77" s="69" t="s">
        <v>457</v>
      </c>
      <c r="C77" s="143" t="n">
        <f aca="false">HedgeCo!M14/HedgeCo!M10*ASSUMPTIONS!C43</f>
        <v>23.1114662411063</v>
      </c>
      <c r="I77" s="69" t="s">
        <v>368</v>
      </c>
    </row>
    <row r="78" customFormat="false" ht="15" hidden="false" customHeight="true" outlineLevel="0" collapsed="false">
      <c r="A78" s="136" t="s">
        <v>458</v>
      </c>
      <c r="C78" s="140" t="n">
        <v>0.4</v>
      </c>
    </row>
    <row r="79" customFormat="false" ht="15" hidden="false" customHeight="true" outlineLevel="0" collapsed="false">
      <c r="A79" s="136" t="s">
        <v>459</v>
      </c>
      <c r="C79" s="26" t="n">
        <v>300</v>
      </c>
    </row>
    <row r="80" customFormat="false" ht="15" hidden="false" customHeight="true" outlineLevel="0" collapsed="false">
      <c r="A80" s="136" t="s">
        <v>378</v>
      </c>
      <c r="C80" s="138" t="n">
        <v>8</v>
      </c>
    </row>
    <row r="81" customFormat="false" ht="6" hidden="false" customHeight="true" outlineLevel="0" collapsed="false"/>
    <row r="82" customFormat="false" ht="15" hidden="false" customHeight="true" outlineLevel="0" collapsed="false">
      <c r="A82" s="164" t="s">
        <v>418</v>
      </c>
      <c r="B82" s="164"/>
      <c r="C82" s="164"/>
      <c r="D82" s="164"/>
      <c r="E82" s="164"/>
      <c r="F82" s="164"/>
      <c r="G82" s="164"/>
      <c r="H82" s="164"/>
      <c r="I82" s="164"/>
    </row>
    <row r="83" customFormat="false" ht="23.25" hidden="false" customHeight="true" outlineLevel="0" collapsed="false">
      <c r="A83" s="69" t="s">
        <v>460</v>
      </c>
      <c r="B83" s="69" t="s">
        <v>461</v>
      </c>
      <c r="C83" s="165" t="n">
        <f aca="false">IF(C70=0,"-",(C71-C72*1)/C71*C70)</f>
        <v>1.09877945003723</v>
      </c>
      <c r="D83" s="165" t="n">
        <f aca="false">IF(C70=0,"-",(C71-C72*2)/C71*C70)</f>
        <v>0.999657094324723</v>
      </c>
      <c r="E83" s="165" t="n">
        <f aca="false">IF(C70=0,"-",(C71-C72*3)/C71*C70)</f>
        <v>0.900534738612213</v>
      </c>
      <c r="F83" s="165" t="n">
        <f aca="false">IF(C70=0,"-",(C71-C72*4)/C71*C70)</f>
        <v>0.801412382899703</v>
      </c>
      <c r="G83" s="165" t="n">
        <f aca="false">IF(C70=0,"-",(C71-C72*5)/C71*C70)</f>
        <v>0.702290027187193</v>
      </c>
      <c r="I83" s="69" t="s">
        <v>447</v>
      </c>
    </row>
    <row r="84" customFormat="false" ht="23.25" hidden="false" customHeight="true" outlineLevel="0" collapsed="false">
      <c r="A84" s="145" t="s">
        <v>462</v>
      </c>
      <c r="C84" s="166" t="str">
        <f aca="false">IF(C83&lt;1,"BREACH","OK")</f>
        <v>OK</v>
      </c>
      <c r="D84" s="166" t="str">
        <f aca="false">IF(D83&lt;1,"BREACH","OK")</f>
        <v>BREACH</v>
      </c>
      <c r="E84" s="166" t="str">
        <f aca="false">IF(E83&lt;1,"BREACH","OK")</f>
        <v>BREACH</v>
      </c>
      <c r="F84" s="166" t="str">
        <f aca="false">IF(F83&lt;1,"BREACH","OK")</f>
        <v>BREACH</v>
      </c>
      <c r="G84" s="166" t="str">
        <f aca="false">IF(G83&lt;1,"BREACH","OK")</f>
        <v>BREACH</v>
      </c>
    </row>
    <row r="85" customFormat="false" ht="34.5" hidden="false" customHeight="true" outlineLevel="0" collapsed="false">
      <c r="A85" s="69" t="s">
        <v>463</v>
      </c>
      <c r="B85" s="69" t="s">
        <v>464</v>
      </c>
      <c r="C85" s="143" t="n">
        <f aca="false">0</f>
        <v>0</v>
      </c>
      <c r="D85" s="143" t="n">
        <f aca="false">C73*C74</f>
        <v>6</v>
      </c>
      <c r="E85" s="143" t="n">
        <f aca="false">0</f>
        <v>0</v>
      </c>
      <c r="F85" s="143" t="n">
        <f aca="false">0</f>
        <v>0</v>
      </c>
      <c r="G85" s="143" t="n">
        <f aca="false">0</f>
        <v>0</v>
      </c>
      <c r="H85" s="143" t="n">
        <f aca="false">D85</f>
        <v>6</v>
      </c>
      <c r="I85" s="69" t="s">
        <v>365</v>
      </c>
    </row>
    <row r="86" customFormat="false" ht="45.75" hidden="false" customHeight="true" outlineLevel="0" collapsed="false">
      <c r="A86" s="145" t="s">
        <v>465</v>
      </c>
      <c r="B86" s="145" t="s">
        <v>466</v>
      </c>
      <c r="C86" s="143" t="n">
        <f aca="false">0</f>
        <v>0</v>
      </c>
      <c r="D86" s="167" t="n">
        <f aca="false">D85*C75</f>
        <v>4.8</v>
      </c>
      <c r="E86" s="143" t="n">
        <f aca="false">0</f>
        <v>0</v>
      </c>
      <c r="F86" s="143" t="n">
        <f aca="false">0</f>
        <v>0</v>
      </c>
      <c r="G86" s="143" t="n">
        <f aca="false">0</f>
        <v>0</v>
      </c>
      <c r="H86" s="167" t="n">
        <f aca="false">D86</f>
        <v>4.8</v>
      </c>
      <c r="I86" s="145" t="s">
        <v>365</v>
      </c>
    </row>
    <row r="87" customFormat="false" ht="34.5" hidden="false" customHeight="true" outlineLevel="0" collapsed="false">
      <c r="A87" s="145" t="s">
        <v>467</v>
      </c>
      <c r="B87" s="145" t="s">
        <v>468</v>
      </c>
      <c r="C87" s="143" t="n">
        <f aca="false">0</f>
        <v>0</v>
      </c>
      <c r="D87" s="143" t="n">
        <f aca="false">0</f>
        <v>0</v>
      </c>
      <c r="E87" s="146" t="n">
        <f aca="false">CommodityCo!M4</f>
        <v>33.3668608974949</v>
      </c>
      <c r="F87" s="143" t="n">
        <f aca="false">0</f>
        <v>0</v>
      </c>
      <c r="G87" s="143" t="n">
        <f aca="false">0</f>
        <v>0</v>
      </c>
      <c r="H87" s="146" t="n">
        <f aca="false">E87</f>
        <v>33.3668608974949</v>
      </c>
      <c r="I87" s="145" t="s">
        <v>365</v>
      </c>
    </row>
    <row r="88" customFormat="false" ht="57" hidden="false" customHeight="true" outlineLevel="0" collapsed="false">
      <c r="A88" s="145" t="s">
        <v>469</v>
      </c>
      <c r="B88" s="145" t="s">
        <v>470</v>
      </c>
      <c r="C88" s="143" t="n">
        <f aca="false">0</f>
        <v>0</v>
      </c>
      <c r="D88" s="143" t="n">
        <f aca="false">0</f>
        <v>0</v>
      </c>
      <c r="E88" s="146" t="n">
        <f aca="false">CommodityCo!M5*0.5</f>
        <v>6.76057660972079</v>
      </c>
      <c r="F88" s="143" t="n">
        <f aca="false">0</f>
        <v>0</v>
      </c>
      <c r="G88" s="143" t="n">
        <f aca="false">0</f>
        <v>0</v>
      </c>
      <c r="H88" s="146" t="n">
        <f aca="false">E88</f>
        <v>6.76057660972079</v>
      </c>
      <c r="I88" s="145" t="s">
        <v>365</v>
      </c>
    </row>
    <row r="89" customFormat="false" ht="45.75" hidden="false" customHeight="true" outlineLevel="0" collapsed="false">
      <c r="A89" s="148" t="s">
        <v>471</v>
      </c>
      <c r="B89" s="148" t="s">
        <v>472</v>
      </c>
      <c r="C89" s="143" t="n">
        <f aca="false">0</f>
        <v>0</v>
      </c>
      <c r="D89" s="143" t="n">
        <f aca="false">0</f>
        <v>0</v>
      </c>
      <c r="E89" s="146" t="n">
        <f aca="false">E87+E88+$C$78*$C$76</f>
        <v>1035.36184082362</v>
      </c>
      <c r="F89" s="146" t="n">
        <f aca="false">$C$78*$C$76*(1-$C$78)</f>
        <v>597.140641989844</v>
      </c>
      <c r="G89" s="146" t="n">
        <f aca="false">$C$78*$C$76*(1-$C$78)^2</f>
        <v>358.284385193906</v>
      </c>
      <c r="H89" s="146" t="n">
        <f aca="false">SUM(C89:G89)</f>
        <v>1990.78686800737</v>
      </c>
      <c r="I89" s="148" t="s">
        <v>365</v>
      </c>
    </row>
    <row r="90" customFormat="false" ht="15" hidden="false" customHeight="true" outlineLevel="0" collapsed="false">
      <c r="A90" s="145" t="s">
        <v>473</v>
      </c>
      <c r="C90" s="146" t="n">
        <f aca="false">MAX(0,C89-$C$79)</f>
        <v>0</v>
      </c>
      <c r="D90" s="146" t="n">
        <f aca="false">MAX(0,D89-$C$79)</f>
        <v>0</v>
      </c>
      <c r="E90" s="146" t="n">
        <f aca="false">MAX(0,E89-$C$79)</f>
        <v>735.361840823622</v>
      </c>
      <c r="F90" s="146" t="n">
        <f aca="false">MAX(0,F89-$C$79)</f>
        <v>297.140641989844</v>
      </c>
      <c r="G90" s="146" t="n">
        <f aca="false">MAX(0,G89-$C$79)</f>
        <v>58.2843851939062</v>
      </c>
      <c r="H90" s="146" t="n">
        <f aca="false">SUM(C90:G90)</f>
        <v>1090.78686800737</v>
      </c>
      <c r="I90" s="145" t="s">
        <v>365</v>
      </c>
    </row>
    <row r="91" customFormat="false" ht="15" hidden="false" customHeight="true" outlineLevel="0" collapsed="false">
      <c r="A91" s="148" t="s">
        <v>474</v>
      </c>
      <c r="C91" s="149" t="n">
        <f aca="false">C90/100*$C$80</f>
        <v>0</v>
      </c>
      <c r="D91" s="149" t="n">
        <f aca="false">D90/100*$C$80</f>
        <v>0</v>
      </c>
      <c r="E91" s="149" t="n">
        <f aca="false">E90/100*$C$80</f>
        <v>58.8289472658898</v>
      </c>
      <c r="F91" s="149" t="n">
        <f aca="false">F90/100*$C$80</f>
        <v>23.7712513591875</v>
      </c>
      <c r="G91" s="149" t="n">
        <f aca="false">G90/100*$C$80</f>
        <v>4.6627508155125</v>
      </c>
      <c r="H91" s="149" t="n">
        <f aca="false">SUM(C91:G91)</f>
        <v>87.2629494405898</v>
      </c>
      <c r="I91" s="148" t="s">
        <v>395</v>
      </c>
    </row>
    <row r="92" customFormat="false" ht="6" hidden="false" customHeight="true" outlineLevel="0" collapsed="false"/>
    <row r="93" customFormat="false" ht="15" hidden="false" customHeight="true" outlineLevel="0" collapsed="false">
      <c r="A93" s="164" t="s">
        <v>475</v>
      </c>
      <c r="B93" s="164"/>
      <c r="C93" s="164"/>
      <c r="D93" s="164"/>
      <c r="E93" s="164"/>
      <c r="F93" s="164"/>
      <c r="G93" s="164"/>
      <c r="H93" s="164"/>
      <c r="I93" s="164"/>
    </row>
    <row r="94" customFormat="false" ht="15" hidden="false" customHeight="true" outlineLevel="0" collapsed="false">
      <c r="A94" s="148" t="s">
        <v>397</v>
      </c>
      <c r="C94" s="150" t="n">
        <f aca="false">H89</f>
        <v>1990.78686800737</v>
      </c>
      <c r="I94" s="148" t="s">
        <v>365</v>
      </c>
    </row>
    <row r="95" customFormat="false" ht="15" hidden="false" customHeight="true" outlineLevel="0" collapsed="false">
      <c r="A95" s="148" t="s">
        <v>398</v>
      </c>
      <c r="C95" s="151" t="n">
        <f aca="false">H91</f>
        <v>87.2629494405898</v>
      </c>
      <c r="I95" s="148" t="s">
        <v>395</v>
      </c>
    </row>
    <row r="96" customFormat="false" ht="15" hidden="false" customHeight="true" outlineLevel="0" collapsed="false">
      <c r="A96" s="148" t="s">
        <v>476</v>
      </c>
      <c r="C96" s="152" t="n">
        <f aca="false">1</f>
        <v>1</v>
      </c>
      <c r="I96" s="148" t="s">
        <v>444</v>
      </c>
    </row>
    <row r="97" customFormat="false" ht="15" hidden="false" customHeight="true" outlineLevel="0" collapsed="false">
      <c r="A97" s="148" t="s">
        <v>477</v>
      </c>
      <c r="C97" s="150" t="n">
        <f aca="false">H90+H89*0.6</f>
        <v>2285.2589888118</v>
      </c>
      <c r="I97" s="148" t="s">
        <v>365</v>
      </c>
    </row>
    <row r="98" customFormat="false" ht="15" hidden="false" customHeight="true" outlineLevel="0" collapsed="false">
      <c r="A98" s="148" t="s">
        <v>431</v>
      </c>
      <c r="C98" s="154" t="n">
        <f aca="false">MEASURES!M10</f>
        <v>0.103844558149727</v>
      </c>
    </row>
    <row r="99" customFormat="false" ht="15" hidden="false" customHeight="true" outlineLevel="0" collapsed="false">
      <c r="A99" s="148" t="s">
        <v>432</v>
      </c>
      <c r="C99" s="150" t="n">
        <f aca="false">(HedgeCo!M14+C97)/(FedCo!M15+HedgeCo!M14)</f>
        <v>1.81145700067626</v>
      </c>
    </row>
    <row r="100" customFormat="false" ht="15" hidden="false" customHeight="true" outlineLevel="0" collapsed="false">
      <c r="A100" s="148" t="s">
        <v>406</v>
      </c>
      <c r="C100" s="150" t="n">
        <f aca="false">FedCo!M15-C97</f>
        <v>-2138.2589888118</v>
      </c>
    </row>
    <row r="101" customFormat="false" ht="12" hidden="false" customHeight="true" outlineLevel="0" collapsed="false">
      <c r="A101" s="155" t="s">
        <v>433</v>
      </c>
      <c r="C101" s="156" t="str">
        <f aca="false">IF(C97&gt;FedCo!M15,"BREACH","OK")</f>
        <v>BREACH</v>
      </c>
      <c r="E101" s="157" t="n">
        <f aca="false">MAX(0,C97-FedCo!M15)</f>
        <v>2138.2589888118</v>
      </c>
    </row>
    <row r="102" customFormat="false" ht="19.5" hidden="false" customHeight="true" outlineLevel="0" collapsed="false">
      <c r="A102" s="168" t="s">
        <v>478</v>
      </c>
      <c r="B102" s="169" t="s">
        <v>479</v>
      </c>
    </row>
    <row r="103" customFormat="false" ht="34.5" hidden="false" customHeight="true" outlineLevel="0" collapsed="false">
      <c r="A103" s="142" t="s">
        <v>480</v>
      </c>
      <c r="B103" s="142" t="s">
        <v>481</v>
      </c>
      <c r="C103" s="142" t="s">
        <v>482</v>
      </c>
      <c r="D103" s="142" t="s">
        <v>483</v>
      </c>
      <c r="E103" s="170" t="s">
        <v>484</v>
      </c>
      <c r="F103" s="170" t="s">
        <v>485</v>
      </c>
      <c r="G103" s="142" t="s">
        <v>486</v>
      </c>
      <c r="H103" s="142" t="s">
        <v>487</v>
      </c>
      <c r="I103" s="142" t="s">
        <v>488</v>
      </c>
    </row>
    <row r="104" customFormat="false" ht="15" hidden="false" customHeight="true" outlineLevel="0" collapsed="false">
      <c r="A104" s="171" t="s">
        <v>489</v>
      </c>
      <c r="B104" s="172" t="n">
        <f aca="false">C30</f>
        <v>1601.46525</v>
      </c>
      <c r="C104" s="173" t="n">
        <f aca="false">MEASURES!K12</f>
        <v>0.897497891948043</v>
      </c>
      <c r="D104" s="173" t="n">
        <f aca="false">(HedgeCo!M14+B104)/(FedCo!M15+HedgeCo!M14)</f>
        <v>1.55196120560152</v>
      </c>
      <c r="E104" s="172" t="n">
        <f aca="false">FedCo!M15</f>
        <v>147</v>
      </c>
      <c r="F104" s="172" t="n">
        <f aca="false">E104-B104</f>
        <v>-1454.46525</v>
      </c>
      <c r="G104" s="172" t="n">
        <f aca="false">B104*0.6</f>
        <v>960.87915</v>
      </c>
      <c r="H104" s="174" t="n">
        <f aca="false">18</f>
        <v>18</v>
      </c>
      <c r="I104" s="173" t="n">
        <f aca="false">D104-(G104/(FedCo!M15+HedgeCo!M14))</f>
        <v>1.1873130890024</v>
      </c>
    </row>
    <row r="105" customFormat="false" ht="15" hidden="false" customHeight="true" outlineLevel="0" collapsed="false">
      <c r="A105" s="171" t="s">
        <v>490</v>
      </c>
      <c r="B105" s="172" t="n">
        <f aca="false">C60</f>
        <v>398.43936</v>
      </c>
      <c r="C105" s="173" t="n">
        <f aca="false">I104</f>
        <v>1.1873130890024</v>
      </c>
      <c r="D105" s="173" t="n">
        <f aca="false">C105+(B105/(FedCo!M15+HedgeCo!M14))</f>
        <v>1.33851853684978</v>
      </c>
      <c r="E105" s="172" t="n">
        <f aca="false">F104+G104</f>
        <v>-493.5861</v>
      </c>
      <c r="F105" s="172" t="n">
        <f aca="false">E105-B105</f>
        <v>-892.02546</v>
      </c>
      <c r="G105" s="172" t="n">
        <f aca="false">B105*0.6</f>
        <v>239.063616</v>
      </c>
      <c r="H105" s="174" t="n">
        <f aca="false">12</f>
        <v>12</v>
      </c>
      <c r="I105" s="173" t="n">
        <f aca="false">D105-(G105/(FedCo!M15+HedgeCo!M14))</f>
        <v>1.24779526814135</v>
      </c>
    </row>
    <row r="106" customFormat="false" ht="15" hidden="false" customHeight="true" outlineLevel="0" collapsed="false">
      <c r="A106" s="171" t="s">
        <v>491</v>
      </c>
      <c r="B106" s="172" t="n">
        <f aca="false">C97</f>
        <v>2285.2589888118</v>
      </c>
      <c r="C106" s="173" t="n">
        <f aca="false">I105</f>
        <v>1.24779526814135</v>
      </c>
      <c r="D106" s="173" t="n">
        <f aca="false">C106+(B106/(FedCo!M15+HedgeCo!M14))</f>
        <v>2.11503792421462</v>
      </c>
      <c r="E106" s="172" t="n">
        <f aca="false">F105+G105</f>
        <v>-652.961844</v>
      </c>
      <c r="F106" s="172" t="n">
        <f aca="false">E106-B106</f>
        <v>-2938.2208328118</v>
      </c>
      <c r="G106" s="172" t="n">
        <f aca="false">B106*0.5</f>
        <v>1142.6294944059</v>
      </c>
      <c r="H106" s="174" t="n">
        <f aca="false">24</f>
        <v>24</v>
      </c>
      <c r="I106" s="173" t="n">
        <f aca="false">D106-(G106/(FedCo!M15+HedgeCo!M14))</f>
        <v>1.68141659617798</v>
      </c>
    </row>
    <row r="107" customFormat="false" ht="39.75" hidden="false" customHeight="true" outlineLevel="0" collapsed="false">
      <c r="A107" s="175" t="s">
        <v>492</v>
      </c>
    </row>
    <row r="108" customFormat="false" ht="12" hidden="false" customHeight="true" outlineLevel="0" collapsed="false"/>
    <row r="109" customFormat="false" ht="19.5" hidden="false" customHeight="true" outlineLevel="0" collapsed="false">
      <c r="A109" s="176" t="s">
        <v>493</v>
      </c>
      <c r="B109" s="176"/>
      <c r="C109" s="176"/>
      <c r="D109" s="176"/>
      <c r="E109" s="176"/>
      <c r="F109" s="176"/>
      <c r="G109" s="176"/>
      <c r="H109" s="176"/>
      <c r="I109" s="176"/>
    </row>
    <row r="110" customFormat="false" ht="30" hidden="false" customHeight="true" outlineLevel="0" collapsed="false">
      <c r="A110" s="177" t="s">
        <v>494</v>
      </c>
    </row>
    <row r="111" customFormat="false" ht="15" hidden="false" customHeight="true" outlineLevel="0" collapsed="false">
      <c r="A111" s="142" t="s">
        <v>495</v>
      </c>
      <c r="B111" s="142" t="s">
        <v>155</v>
      </c>
      <c r="C111" s="178" t="s">
        <v>41</v>
      </c>
      <c r="D111" s="178" t="s">
        <v>43</v>
      </c>
      <c r="E111" s="178" t="s">
        <v>45</v>
      </c>
      <c r="F111" s="178" t="s">
        <v>47</v>
      </c>
      <c r="G111" s="178" t="s">
        <v>49</v>
      </c>
      <c r="H111" s="178" t="s">
        <v>496</v>
      </c>
      <c r="I111" s="178" t="s">
        <v>360</v>
      </c>
    </row>
    <row r="112" customFormat="false" ht="15" hidden="false" customHeight="true" outlineLevel="0" collapsed="false">
      <c r="A112" s="136" t="s">
        <v>497</v>
      </c>
      <c r="B112" s="136" t="s">
        <v>498</v>
      </c>
      <c r="C112" s="137" t="n">
        <f aca="false">JapanCo!C4</f>
        <v>650</v>
      </c>
      <c r="D112" s="137" t="n">
        <f aca="false">JapanCo!E4</f>
        <v>652.4</v>
      </c>
      <c r="E112" s="137" t="n">
        <f aca="false">JapanCo!G4</f>
        <v>656</v>
      </c>
      <c r="F112" s="137" t="n">
        <f aca="false">JapanCo!I4</f>
        <v>660.47</v>
      </c>
      <c r="G112" s="137" t="n">
        <f aca="false">JapanCo!K4</f>
        <v>664.67</v>
      </c>
      <c r="I112" s="136" t="s">
        <v>365</v>
      </c>
    </row>
    <row r="113" customFormat="false" ht="15" hidden="false" customHeight="true" outlineLevel="0" collapsed="false">
      <c r="A113" s="136" t="s">
        <v>499</v>
      </c>
      <c r="C113" s="138" t="n">
        <v>150</v>
      </c>
      <c r="D113" s="138" t="n">
        <v>150</v>
      </c>
      <c r="E113" s="138" t="n">
        <v>150</v>
      </c>
      <c r="F113" s="138" t="n">
        <v>150</v>
      </c>
      <c r="G113" s="138" t="n">
        <v>150</v>
      </c>
      <c r="I113" s="136" t="s">
        <v>500</v>
      </c>
    </row>
    <row r="114" customFormat="false" ht="23.25" hidden="false" customHeight="true" outlineLevel="0" collapsed="false">
      <c r="A114" s="136" t="s">
        <v>501</v>
      </c>
      <c r="B114" s="136" t="s">
        <v>502</v>
      </c>
      <c r="C114" s="179" t="n">
        <v>97500</v>
      </c>
      <c r="D114" s="179" t="n">
        <v>97500</v>
      </c>
      <c r="E114" s="179" t="n">
        <v>97500</v>
      </c>
      <c r="F114" s="179" t="n">
        <v>97500</v>
      </c>
      <c r="G114" s="179" t="n">
        <v>97500</v>
      </c>
      <c r="I114" s="136" t="s">
        <v>503</v>
      </c>
    </row>
    <row r="115" customFormat="false" ht="15" hidden="false" customHeight="true" outlineLevel="0" collapsed="false">
      <c r="A115" s="69" t="s">
        <v>504</v>
      </c>
      <c r="C115" s="180" t="n">
        <v>0</v>
      </c>
      <c r="D115" s="180" t="n">
        <v>0.05</v>
      </c>
      <c r="E115" s="180" t="n">
        <v>0.1</v>
      </c>
      <c r="F115" s="180" t="n">
        <v>0.15</v>
      </c>
      <c r="G115" s="180" t="n">
        <v>0.2</v>
      </c>
      <c r="I115" s="69" t="s">
        <v>420</v>
      </c>
    </row>
    <row r="116" customFormat="false" ht="15" hidden="false" customHeight="true" outlineLevel="0" collapsed="false">
      <c r="A116" s="69" t="s">
        <v>505</v>
      </c>
      <c r="C116" s="181" t="n">
        <f aca="false">C113*(1-C115)</f>
        <v>150</v>
      </c>
      <c r="D116" s="181" t="n">
        <f aca="false">C113*(1-D115)</f>
        <v>142.5</v>
      </c>
      <c r="E116" s="181" t="n">
        <f aca="false">C113*(1-E115)</f>
        <v>135</v>
      </c>
      <c r="F116" s="181" t="n">
        <f aca="false">C113*(1-F115)</f>
        <v>127.5</v>
      </c>
      <c r="G116" s="181" t="n">
        <f aca="false">C113*(1-G115)</f>
        <v>120</v>
      </c>
      <c r="I116" s="69" t="s">
        <v>500</v>
      </c>
    </row>
    <row r="117" customFormat="false" ht="15" hidden="false" customHeight="true" outlineLevel="0" collapsed="false">
      <c r="A117" s="69" t="s">
        <v>506</v>
      </c>
      <c r="C117" s="182" t="n">
        <f aca="false">C112*C116</f>
        <v>97500</v>
      </c>
      <c r="D117" s="182" t="n">
        <f aca="false">C112*D116</f>
        <v>92625</v>
      </c>
      <c r="E117" s="182" t="n">
        <f aca="false">C112*E116</f>
        <v>87750</v>
      </c>
      <c r="F117" s="182" t="n">
        <f aca="false">C112*F116</f>
        <v>82875</v>
      </c>
      <c r="G117" s="182" t="n">
        <f aca="false">C112*G116</f>
        <v>78000</v>
      </c>
      <c r="I117" s="69" t="s">
        <v>503</v>
      </c>
    </row>
    <row r="118" customFormat="false" ht="23.25" hidden="false" customHeight="true" outlineLevel="0" collapsed="false">
      <c r="A118" s="148" t="s">
        <v>507</v>
      </c>
      <c r="B118" s="148" t="s">
        <v>508</v>
      </c>
      <c r="C118" s="183" t="n">
        <f aca="false">C114-C117</f>
        <v>0</v>
      </c>
      <c r="D118" s="183" t="n">
        <f aca="false">C114-D117</f>
        <v>4875</v>
      </c>
      <c r="E118" s="183" t="n">
        <f aca="false">C114-E117</f>
        <v>9750</v>
      </c>
      <c r="F118" s="183" t="n">
        <f aca="false">C114-F117</f>
        <v>14625</v>
      </c>
      <c r="G118" s="183" t="n">
        <f aca="false">C114-G117</f>
        <v>19500</v>
      </c>
      <c r="I118" s="148" t="s">
        <v>503</v>
      </c>
    </row>
    <row r="119" customFormat="false" ht="15" hidden="false" customHeight="true" outlineLevel="0" collapsed="false">
      <c r="A119" s="148" t="s">
        <v>509</v>
      </c>
      <c r="C119" s="154" t="n">
        <f aca="false">1-(C114/(C112*C113))</f>
        <v>0</v>
      </c>
      <c r="D119" s="154" t="n">
        <f aca="false">1-(C114/(D112*C113))</f>
        <v>0.00367872470876762</v>
      </c>
      <c r="E119" s="154" t="n">
        <f aca="false">1-(C114/(E112*C113))</f>
        <v>0.00914634146341453</v>
      </c>
      <c r="F119" s="154" t="n">
        <f aca="false">1-(C114/(F112*C113))</f>
        <v>0.0158523475706692</v>
      </c>
      <c r="G119" s="154" t="n">
        <f aca="false">1-(C114/(G112*C113))</f>
        <v>0.0220711029533452</v>
      </c>
      <c r="I119" s="148" t="s">
        <v>420</v>
      </c>
    </row>
    <row r="120" customFormat="false" ht="51.75" hidden="false" customHeight="true" outlineLevel="0" collapsed="false">
      <c r="A120" s="184" t="s">
        <v>510</v>
      </c>
      <c r="B120" s="185" t="s">
        <v>511</v>
      </c>
      <c r="C120" s="154" t="n">
        <f aca="false">1-(C114/(C112*C113))</f>
        <v>0</v>
      </c>
      <c r="D120" s="154" t="n">
        <f aca="false">1-(C114/(D112*C113))</f>
        <v>0.00367872470876762</v>
      </c>
      <c r="E120" s="154" t="n">
        <f aca="false">1-(C114/(E112*C113))</f>
        <v>0.00914634146341453</v>
      </c>
      <c r="F120" s="154" t="n">
        <f aca="false">1-(C114/(F112*C113))</f>
        <v>0.0158523475706692</v>
      </c>
      <c r="G120" s="154" t="n">
        <f aca="false">1-(C114/(G112*C113))</f>
        <v>0.0220711029533452</v>
      </c>
      <c r="I120" s="148" t="s">
        <v>420</v>
      </c>
    </row>
    <row r="121" customFormat="false" ht="48" hidden="false" customHeight="true" outlineLevel="0" collapsed="false">
      <c r="A121" s="177" t="s">
        <v>512</v>
      </c>
    </row>
  </sheetData>
  <mergeCells count="12">
    <mergeCell ref="A1:I1"/>
    <mergeCell ref="A5:I5"/>
    <mergeCell ref="A6:B6"/>
    <mergeCell ref="A16:I16"/>
    <mergeCell ref="A26:I26"/>
    <mergeCell ref="A36:B36"/>
    <mergeCell ref="A48:I48"/>
    <mergeCell ref="A57:I57"/>
    <mergeCell ref="A67:B67"/>
    <mergeCell ref="A82:I82"/>
    <mergeCell ref="A93:I93"/>
    <mergeCell ref="A109:I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2026-03-28T08:49:03Z</dcterms:created>
  <dc:creator>openpyxl</dc:creator>
  <dc:description/>
  <dc:language>en-US</dc:language>
  <cp:lastModifiedBy/>
  <dcterms:modified xsi:type="dcterms:W3CDTF">2026-03-31T02:29:36Z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